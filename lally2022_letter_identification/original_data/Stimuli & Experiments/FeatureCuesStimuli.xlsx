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larePhD\PhD\4_FeatureCues\6_OSF\"/>
    </mc:Choice>
  </mc:AlternateContent>
  <bookViews>
    <workbookView xWindow="0" yWindow="0" windowWidth="20490" windowHeight="7620" tabRatio="799"/>
  </bookViews>
  <sheets>
    <sheet name="StimuliSummary" sheetId="23" r:id="rId1"/>
    <sheet name="Notes" sheetId="20" r:id="rId2"/>
    <sheet name="LetterSimilarity_SpeakerRatings" sheetId="10" r:id="rId3"/>
    <sheet name="LetterSimilarity_HMAXRatings" sheetId="19" r:id="rId4"/>
  </sheets>
  <calcPr calcId="162913"/>
</workbook>
</file>

<file path=xl/calcChain.xml><?xml version="1.0" encoding="utf-8"?>
<calcChain xmlns="http://schemas.openxmlformats.org/spreadsheetml/2006/main">
  <c r="Q56" i="23" l="1"/>
  <c r="R56" i="23"/>
  <c r="S56" i="23"/>
  <c r="P56" i="23"/>
  <c r="Q55" i="23"/>
  <c r="R55" i="23"/>
  <c r="S55" i="23"/>
  <c r="P55" i="23"/>
  <c r="Q54" i="23"/>
  <c r="R54" i="23"/>
  <c r="S54" i="23"/>
  <c r="P54" i="23"/>
  <c r="Q53" i="23"/>
  <c r="R53" i="23"/>
  <c r="S53" i="23"/>
  <c r="P53" i="23"/>
  <c r="Q52" i="23"/>
  <c r="R52" i="23"/>
  <c r="S52" i="23"/>
  <c r="P52" i="23"/>
</calcChain>
</file>

<file path=xl/sharedStrings.xml><?xml version="1.0" encoding="utf-8"?>
<sst xmlns="http://schemas.openxmlformats.org/spreadsheetml/2006/main" count="624" uniqueCount="498">
  <si>
    <t>shave</t>
  </si>
  <si>
    <t>shape</t>
  </si>
  <si>
    <t>star</t>
  </si>
  <si>
    <t>wake</t>
  </si>
  <si>
    <t>face</t>
  </si>
  <si>
    <t>shade</t>
  </si>
  <si>
    <t>fade</t>
  </si>
  <si>
    <t>wade</t>
  </si>
  <si>
    <t>wage</t>
  </si>
  <si>
    <t>show</t>
  </si>
  <si>
    <t>slip</t>
  </si>
  <si>
    <t>store</t>
  </si>
  <si>
    <t>sear</t>
  </si>
  <si>
    <t>faze</t>
  </si>
  <si>
    <t>snip</t>
  </si>
  <si>
    <t>ship</t>
  </si>
  <si>
    <t>leap</t>
  </si>
  <si>
    <t>slap</t>
  </si>
  <si>
    <t>snow</t>
  </si>
  <si>
    <t>spar</t>
  </si>
  <si>
    <t>stoke</t>
  </si>
  <si>
    <t>stow</t>
  </si>
  <si>
    <t>home</t>
  </si>
  <si>
    <t>beat</t>
  </si>
  <si>
    <t>hole</t>
  </si>
  <si>
    <t>skip</t>
  </si>
  <si>
    <t>span</t>
  </si>
  <si>
    <t>hone</t>
  </si>
  <si>
    <t>bank</t>
  </si>
  <si>
    <t>lead</t>
  </si>
  <si>
    <t>step</t>
  </si>
  <si>
    <t>fire</t>
  </si>
  <si>
    <t>stone</t>
  </si>
  <si>
    <t>seed</t>
  </si>
  <si>
    <t>pole</t>
  </si>
  <si>
    <t>grade</t>
  </si>
  <si>
    <t>swap</t>
  </si>
  <si>
    <t>grape</t>
  </si>
  <si>
    <t>hoop</t>
  </si>
  <si>
    <t>flap</t>
  </si>
  <si>
    <t>flop</t>
  </si>
  <si>
    <t>reap</t>
  </si>
  <si>
    <t>rose</t>
  </si>
  <si>
    <t>grave</t>
  </si>
  <si>
    <t>scan</t>
  </si>
  <si>
    <t>stride</t>
  </si>
  <si>
    <t>seem</t>
  </si>
  <si>
    <t>price</t>
  </si>
  <si>
    <t>mile</t>
  </si>
  <si>
    <t>date</t>
  </si>
  <si>
    <t>band</t>
  </si>
  <si>
    <t>rope</t>
  </si>
  <si>
    <t>wire</t>
  </si>
  <si>
    <t>fine</t>
  </si>
  <si>
    <t>swan</t>
  </si>
  <si>
    <t>wine</t>
  </si>
  <si>
    <t>pose</t>
  </si>
  <si>
    <t>spare</t>
  </si>
  <si>
    <t>strive</t>
  </si>
  <si>
    <t>slam</t>
  </si>
  <si>
    <t>stag</t>
  </si>
  <si>
    <t>seam</t>
  </si>
  <si>
    <t>pride</t>
  </si>
  <si>
    <t>spat</t>
  </si>
  <si>
    <t>swag</t>
  </si>
  <si>
    <t>warm</t>
  </si>
  <si>
    <t>space</t>
  </si>
  <si>
    <t>seal</t>
  </si>
  <si>
    <t>file</t>
  </si>
  <si>
    <t>stab</t>
  </si>
  <si>
    <t>slide</t>
  </si>
  <si>
    <t>slice</t>
  </si>
  <si>
    <t>stem</t>
  </si>
  <si>
    <t>dare</t>
  </si>
  <si>
    <t>scam</t>
  </si>
  <si>
    <t>stripe</t>
  </si>
  <si>
    <t>prime</t>
  </si>
  <si>
    <t>dame</t>
  </si>
  <si>
    <t>spire</t>
  </si>
  <si>
    <t>wart</t>
  </si>
  <si>
    <t>seep</t>
  </si>
  <si>
    <t>sale</t>
  </si>
  <si>
    <t>draw</t>
  </si>
  <si>
    <t>steal</t>
  </si>
  <si>
    <t>gate</t>
  </si>
  <si>
    <t>wife</t>
  </si>
  <si>
    <t>flow</t>
  </si>
  <si>
    <t>drag</t>
  </si>
  <si>
    <t>spice</t>
  </si>
  <si>
    <t>bang</t>
  </si>
  <si>
    <t>mine</t>
  </si>
  <si>
    <t>bite</t>
  </si>
  <si>
    <t>rear</t>
  </si>
  <si>
    <t>skim</t>
  </si>
  <si>
    <t>pore</t>
  </si>
  <si>
    <t>game</t>
  </si>
  <si>
    <t>base</t>
  </si>
  <si>
    <t>wind</t>
  </si>
  <si>
    <t>wing</t>
  </si>
  <si>
    <t>hook</t>
  </si>
  <si>
    <t>leak</t>
  </si>
  <si>
    <t>flog</t>
  </si>
  <si>
    <t>mime</t>
  </si>
  <si>
    <t>spade</t>
  </si>
  <si>
    <t>gale</t>
  </si>
  <si>
    <t>slab</t>
  </si>
  <si>
    <t>bake</t>
  </si>
  <si>
    <t>sake</t>
  </si>
  <si>
    <t>scab</t>
  </si>
  <si>
    <t>wink</t>
  </si>
  <si>
    <t>stew</t>
  </si>
  <si>
    <t>bide</t>
  </si>
  <si>
    <t>sage</t>
  </si>
  <si>
    <t>read</t>
  </si>
  <si>
    <t>warn</t>
  </si>
  <si>
    <t>beam</t>
  </si>
  <si>
    <t>flag</t>
  </si>
  <si>
    <t>grip</t>
  </si>
  <si>
    <t>beer</t>
  </si>
  <si>
    <t>weep</t>
  </si>
  <si>
    <t>reel</t>
  </si>
  <si>
    <t>bale</t>
  </si>
  <si>
    <t>spine</t>
  </si>
  <si>
    <t>robe</t>
  </si>
  <si>
    <t>skid</t>
  </si>
  <si>
    <t>weed</t>
  </si>
  <si>
    <t>moon</t>
  </si>
  <si>
    <t>hood</t>
  </si>
  <si>
    <t>flat</t>
  </si>
  <si>
    <t>moor</t>
  </si>
  <si>
    <t>reed</t>
  </si>
  <si>
    <t>beep</t>
  </si>
  <si>
    <t>grit</t>
  </si>
  <si>
    <t>week</t>
  </si>
  <si>
    <t>bean</t>
  </si>
  <si>
    <t>steak</t>
  </si>
  <si>
    <t>mood</t>
  </si>
  <si>
    <t>reef</t>
  </si>
  <si>
    <t>beef</t>
  </si>
  <si>
    <t>grid</t>
  </si>
  <si>
    <t>drab</t>
  </si>
  <si>
    <t>slime</t>
  </si>
  <si>
    <t>bile</t>
  </si>
  <si>
    <t>steam</t>
  </si>
  <si>
    <t>Internal</t>
  </si>
  <si>
    <t>External</t>
  </si>
  <si>
    <t>Position</t>
  </si>
  <si>
    <t>Length</t>
  </si>
  <si>
    <t>Manipulation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</si>
  <si>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</si>
  <si>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</si>
  <si>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</si>
  <si>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</si>
  <si>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</si>
  <si>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</si>
  <si>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</si>
  <si>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</si>
  <si>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</si>
  <si>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</si>
  <si>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</si>
  <si>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</si>
  <si>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</si>
  <si>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</si>
  <si>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</si>
  <si>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</si>
  <si>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</si>
  <si>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</si>
  <si>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</si>
  <si>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</si>
  <si>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</si>
  <si>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</si>
  <si>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</si>
  <si>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</si>
  <si>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</si>
  <si>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</si>
  <si>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MIN</t>
  </si>
  <si>
    <t>MAX</t>
  </si>
  <si>
    <t>MEAN</t>
  </si>
  <si>
    <t>HMAX &amp; Simpson letter ratings are correlated</t>
  </si>
  <si>
    <t>HMAX &amp; Simpson stimuli ratings are correlated</t>
  </si>
  <si>
    <t>Notes</t>
  </si>
  <si>
    <t>Significant difference in Simpson ratings between high and low conditions</t>
  </si>
  <si>
    <t>Significant difference in HMAX ratings between high and low conditions</t>
  </si>
  <si>
    <t>Manipulations</t>
  </si>
  <si>
    <t>Controls</t>
  </si>
  <si>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(47) = 24.77,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.001</t>
    </r>
  </si>
  <si>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(47) = 6.25,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&lt;.001</t>
    </r>
  </si>
  <si>
    <r>
      <rPr>
        <i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0.49,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&lt;.001</t>
    </r>
  </si>
  <si>
    <r>
      <rPr>
        <i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= 0.47,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&lt;.001</t>
    </r>
  </si>
  <si>
    <r>
      <rPr>
        <i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(2,141) = 0.07,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.936</t>
    </r>
  </si>
  <si>
    <t>No significant difference in CELEX frequency between target, high and low conditions</t>
  </si>
  <si>
    <t>Words</t>
  </si>
  <si>
    <t>Pseudowords</t>
  </si>
  <si>
    <t>PW_Target</t>
  </si>
  <si>
    <t>PW_High</t>
  </si>
  <si>
    <t>PW_Low</t>
  </si>
  <si>
    <t>Item Info</t>
  </si>
  <si>
    <t>Consonant Strings</t>
  </si>
  <si>
    <t>WW_Target</t>
  </si>
  <si>
    <t>WW_High</t>
  </si>
  <si>
    <t>WW_Low</t>
  </si>
  <si>
    <t>CS_Target</t>
  </si>
  <si>
    <t>CS_High</t>
  </si>
  <si>
    <t>CS_Low</t>
  </si>
  <si>
    <t>znsq</t>
  </si>
  <si>
    <t>zhsq</t>
  </si>
  <si>
    <t>ztsq</t>
  </si>
  <si>
    <t>knfc</t>
  </si>
  <si>
    <t>khfc</t>
  </si>
  <si>
    <t>klfc</t>
  </si>
  <si>
    <t>qsgpn</t>
  </si>
  <si>
    <t>qsgdn</t>
  </si>
  <si>
    <t>qsgvn</t>
  </si>
  <si>
    <t>htwd</t>
  </si>
  <si>
    <t>htwp</t>
  </si>
  <si>
    <t>htwm</t>
  </si>
  <si>
    <t>fcmpk</t>
  </si>
  <si>
    <t>fcmdk</t>
  </si>
  <si>
    <t>fcmvk</t>
  </si>
  <si>
    <t>jbfzpq</t>
  </si>
  <si>
    <t>jbfzdq</t>
  </si>
  <si>
    <t>jbfzvq</t>
  </si>
  <si>
    <t>qvsd</t>
  </si>
  <si>
    <t>qvsp</t>
  </si>
  <si>
    <t>qvsr</t>
  </si>
  <si>
    <t>cvsd</t>
  </si>
  <si>
    <t>cvsp</t>
  </si>
  <si>
    <t>cvsk</t>
  </si>
  <si>
    <t>csbd</t>
  </si>
  <si>
    <t>csbp</t>
  </si>
  <si>
    <t>csbm</t>
  </si>
  <si>
    <t>lsbd</t>
  </si>
  <si>
    <t>lsbp</t>
  </si>
  <si>
    <t>lsbk</t>
  </si>
  <si>
    <t>srfd</t>
  </si>
  <si>
    <t>srfp</t>
  </si>
  <si>
    <t>srfk</t>
  </si>
  <si>
    <t>qmwp</t>
  </si>
  <si>
    <t>qmwd</t>
  </si>
  <si>
    <t>qmwt</t>
  </si>
  <si>
    <t>rtcb</t>
  </si>
  <si>
    <t>rtcp</t>
  </si>
  <si>
    <t>rtcm</t>
  </si>
  <si>
    <t>klpj</t>
  </si>
  <si>
    <t>klbj</t>
  </si>
  <si>
    <t>klsj</t>
  </si>
  <si>
    <t>sfdm</t>
  </si>
  <si>
    <t>sfdn</t>
  </si>
  <si>
    <t>sfdt</t>
  </si>
  <si>
    <t>fsmt</t>
  </si>
  <si>
    <t>fsnt</t>
  </si>
  <si>
    <t>fslt</t>
  </si>
  <si>
    <t>htjm</t>
  </si>
  <si>
    <t>htjn</t>
  </si>
  <si>
    <t>htjb</t>
  </si>
  <si>
    <t>zsmj</t>
  </si>
  <si>
    <t>zsnj</t>
  </si>
  <si>
    <t>zslj</t>
  </si>
  <si>
    <t>gjkm</t>
  </si>
  <si>
    <t>gjkn</t>
  </si>
  <si>
    <t>gjkt</t>
  </si>
  <si>
    <t>pktv</t>
  </si>
  <si>
    <t>pklv</t>
  </si>
  <si>
    <t>pkmv</t>
  </si>
  <si>
    <t>fqcg</t>
  </si>
  <si>
    <t>fqcp</t>
  </si>
  <si>
    <t>fqcw</t>
  </si>
  <si>
    <t>wbjg</t>
  </si>
  <si>
    <t>wbjp</t>
  </si>
  <si>
    <t>wbjn</t>
  </si>
  <si>
    <t>vlbg</t>
  </si>
  <si>
    <t>vlbp</t>
  </si>
  <si>
    <t>vlbt</t>
  </si>
  <si>
    <t>gpts</t>
  </si>
  <si>
    <t>gpls</t>
  </si>
  <si>
    <t>gpds</t>
  </si>
  <si>
    <t>fhgv</t>
  </si>
  <si>
    <t>fhdv</t>
  </si>
  <si>
    <t>fhkv</t>
  </si>
  <si>
    <t>lqvg</t>
  </si>
  <si>
    <t>lqvd</t>
  </si>
  <si>
    <t>lqvk</t>
  </si>
  <si>
    <t>bvcg</t>
  </si>
  <si>
    <t>bvcd</t>
  </si>
  <si>
    <t>bvck</t>
  </si>
  <si>
    <t>vjnf</t>
  </si>
  <si>
    <t>vjnl</t>
  </si>
  <si>
    <t>vjnd</t>
  </si>
  <si>
    <t>dtfh</t>
  </si>
  <si>
    <t>dtrh</t>
  </si>
  <si>
    <t>dtnh</t>
  </si>
  <si>
    <t>czhf</t>
  </si>
  <si>
    <t>czhr</t>
  </si>
  <si>
    <t>czhp</t>
  </si>
  <si>
    <t>gjwds</t>
  </si>
  <si>
    <t>gjwcs</t>
  </si>
  <si>
    <t>gjwms</t>
  </si>
  <si>
    <t>vzldb</t>
  </si>
  <si>
    <t>vzlcb</t>
  </si>
  <si>
    <t>vzlrb</t>
  </si>
  <si>
    <t>vkdj</t>
  </si>
  <si>
    <t>vkcj</t>
  </si>
  <si>
    <t>vkzj</t>
  </si>
  <si>
    <t>pfldr</t>
  </si>
  <si>
    <t>pflcr</t>
  </si>
  <si>
    <t>pflmr</t>
  </si>
  <si>
    <t>mkrb</t>
  </si>
  <si>
    <t>mkrg</t>
  </si>
  <si>
    <t>mkrw</t>
  </si>
  <si>
    <t>hfwb</t>
  </si>
  <si>
    <t>hfwg</t>
  </si>
  <si>
    <t>hfwr</t>
  </si>
  <si>
    <t>gbcw</t>
  </si>
  <si>
    <t>gbcm</t>
  </si>
  <si>
    <t>gbcp</t>
  </si>
  <si>
    <t>njtb</t>
  </si>
  <si>
    <t>njrb</t>
  </si>
  <si>
    <t>njmb</t>
  </si>
  <si>
    <t>mvjt</t>
  </si>
  <si>
    <t>mvjr</t>
  </si>
  <si>
    <t>mvjn</t>
  </si>
  <si>
    <t>gtln</t>
  </si>
  <si>
    <t>gtrn</t>
  </si>
  <si>
    <t>gtsn</t>
  </si>
  <si>
    <t>pqlt</t>
  </si>
  <si>
    <t>pqrt</t>
  </si>
  <si>
    <t>pqnt</t>
  </si>
  <si>
    <t>wktl</t>
  </si>
  <si>
    <t>wktr</t>
  </si>
  <si>
    <t>wktm</t>
  </si>
  <si>
    <t>fbvr</t>
  </si>
  <si>
    <t>fbvn</t>
  </si>
  <si>
    <t>fbvd</t>
  </si>
  <si>
    <t>qjfnd</t>
  </si>
  <si>
    <t>qjfrd</t>
  </si>
  <si>
    <t>qjfkd</t>
  </si>
  <si>
    <t>hvwrt</t>
  </si>
  <si>
    <t>hvwnt</t>
  </si>
  <si>
    <t>hvwct</t>
  </si>
  <si>
    <t>bfnsl</t>
  </si>
  <si>
    <t>bfnsk</t>
  </si>
  <si>
    <t>bfnsm</t>
  </si>
  <si>
    <t>gnlt</t>
  </si>
  <si>
    <t>gnkt</t>
  </si>
  <si>
    <t>gnst</t>
  </si>
  <si>
    <t>dhkw</t>
  </si>
  <si>
    <t>dhlw</t>
  </si>
  <si>
    <t>dhgw</t>
  </si>
  <si>
    <t>snum</t>
  </si>
  <si>
    <t>shum</t>
  </si>
  <si>
    <t>stum</t>
  </si>
  <si>
    <t>snad</t>
  </si>
  <si>
    <t>shad</t>
  </si>
  <si>
    <t>slad</t>
  </si>
  <si>
    <t>frope</t>
  </si>
  <si>
    <t>frode</t>
  </si>
  <si>
    <t>frove</t>
  </si>
  <si>
    <t>swed</t>
  </si>
  <si>
    <t>swep</t>
  </si>
  <si>
    <t>swem</t>
  </si>
  <si>
    <t>brupe</t>
  </si>
  <si>
    <t>brude</t>
  </si>
  <si>
    <t>bruve</t>
  </si>
  <si>
    <t>strepe</t>
  </si>
  <si>
    <t>strede</t>
  </si>
  <si>
    <t>streve</t>
  </si>
  <si>
    <t>nood</t>
  </si>
  <si>
    <t>noop</t>
  </si>
  <si>
    <t>noor</t>
  </si>
  <si>
    <t>vild</t>
  </si>
  <si>
    <t>vilp</t>
  </si>
  <si>
    <t>vilk</t>
  </si>
  <si>
    <t>glod</t>
  </si>
  <si>
    <t>glop</t>
  </si>
  <si>
    <t>glom</t>
  </si>
  <si>
    <t>fard</t>
  </si>
  <si>
    <t>farp</t>
  </si>
  <si>
    <t>fark</t>
  </si>
  <si>
    <t>zoud</t>
  </si>
  <si>
    <t>zoup</t>
  </si>
  <si>
    <t>zouk</t>
  </si>
  <si>
    <t>glip</t>
  </si>
  <si>
    <t>glid</t>
  </si>
  <si>
    <t>glit</t>
  </si>
  <si>
    <t>nalb</t>
  </si>
  <si>
    <t>nalp</t>
  </si>
  <si>
    <t>nalm</t>
  </si>
  <si>
    <t>dape</t>
  </si>
  <si>
    <t>dabe</t>
  </si>
  <si>
    <t>dase</t>
  </si>
  <si>
    <t>gulm</t>
  </si>
  <si>
    <t>guln</t>
  </si>
  <si>
    <t>gult</t>
  </si>
  <si>
    <t>hime</t>
  </si>
  <si>
    <t>hine</t>
  </si>
  <si>
    <t>hile</t>
  </si>
  <si>
    <t>plim</t>
  </si>
  <si>
    <t>plin</t>
  </si>
  <si>
    <t>plib</t>
  </si>
  <si>
    <t>vume</t>
  </si>
  <si>
    <t>vune</t>
  </si>
  <si>
    <t>vule</t>
  </si>
  <si>
    <t>chom</t>
  </si>
  <si>
    <t>chon</t>
  </si>
  <si>
    <t>chot</t>
  </si>
  <si>
    <t>wote</t>
  </si>
  <si>
    <t>wole</t>
  </si>
  <si>
    <t>wome</t>
  </si>
  <si>
    <t>quag</t>
  </si>
  <si>
    <t>quap</t>
  </si>
  <si>
    <t>quaw</t>
  </si>
  <si>
    <t>sleg</t>
  </si>
  <si>
    <t>slep</t>
  </si>
  <si>
    <t>slen</t>
  </si>
  <si>
    <t>blug</t>
  </si>
  <si>
    <t>blup</t>
  </si>
  <si>
    <t>blut</t>
  </si>
  <si>
    <t>jote</t>
  </si>
  <si>
    <t>jole</t>
  </si>
  <si>
    <t>jode</t>
  </si>
  <si>
    <t>jege</t>
  </si>
  <si>
    <t>jede</t>
  </si>
  <si>
    <t>jeke</t>
  </si>
  <si>
    <t>yeng</t>
  </si>
  <si>
    <t>yend</t>
  </si>
  <si>
    <t>yenk</t>
  </si>
  <si>
    <t>reng</t>
  </si>
  <si>
    <t>rend</t>
  </si>
  <si>
    <t>renk</t>
  </si>
  <si>
    <t>goif</t>
  </si>
  <si>
    <t>goil</t>
  </si>
  <si>
    <t>goid</t>
  </si>
  <si>
    <t>vofe</t>
  </si>
  <si>
    <t>vore</t>
  </si>
  <si>
    <t>vone</t>
  </si>
  <si>
    <t>zeaf</t>
  </si>
  <si>
    <t>zear</t>
  </si>
  <si>
    <t>zeap</t>
  </si>
  <si>
    <t>spode</t>
  </si>
  <si>
    <t>spoce</t>
  </si>
  <si>
    <t>spome</t>
  </si>
  <si>
    <t>ghade</t>
  </si>
  <si>
    <t>ghace</t>
  </si>
  <si>
    <t>ghare</t>
  </si>
  <si>
    <t>kide</t>
  </si>
  <si>
    <t>kice</t>
  </si>
  <si>
    <t>kize</t>
  </si>
  <si>
    <t>brode</t>
  </si>
  <si>
    <t>broce</t>
  </si>
  <si>
    <t>brome</t>
  </si>
  <si>
    <t>frab</t>
  </si>
  <si>
    <t>frag</t>
  </si>
  <si>
    <t>fraw</t>
  </si>
  <si>
    <t>plob</t>
  </si>
  <si>
    <t>plog</t>
  </si>
  <si>
    <t>plor</t>
  </si>
  <si>
    <t>blaw</t>
  </si>
  <si>
    <t>blam</t>
  </si>
  <si>
    <t>blap</t>
  </si>
  <si>
    <t>jite</t>
  </si>
  <si>
    <t>jire</t>
  </si>
  <si>
    <t>jime</t>
  </si>
  <si>
    <t>glot</t>
  </si>
  <si>
    <t>glor</t>
  </si>
  <si>
    <t>glon</t>
  </si>
  <si>
    <t>hule</t>
  </si>
  <si>
    <t>hure</t>
  </si>
  <si>
    <t>huse</t>
  </si>
  <si>
    <t>bule</t>
  </si>
  <si>
    <t>bure</t>
  </si>
  <si>
    <t>bune</t>
  </si>
  <si>
    <t>drol</t>
  </si>
  <si>
    <t>dror</t>
  </si>
  <si>
    <t>drom</t>
  </si>
  <si>
    <t>plur</t>
  </si>
  <si>
    <t>plun</t>
  </si>
  <si>
    <t>plud</t>
  </si>
  <si>
    <t>slone</t>
  </si>
  <si>
    <t>slore</t>
  </si>
  <si>
    <t>sloke</t>
  </si>
  <si>
    <t>swork</t>
  </si>
  <si>
    <t>swonk</t>
  </si>
  <si>
    <t>swock</t>
  </si>
  <si>
    <t>proal</t>
  </si>
  <si>
    <t>proak</t>
  </si>
  <si>
    <t>proam</t>
  </si>
  <si>
    <t>jile</t>
  </si>
  <si>
    <t>jike</t>
  </si>
  <si>
    <t>jise</t>
  </si>
  <si>
    <t>zoke</t>
  </si>
  <si>
    <t>zole</t>
  </si>
  <si>
    <t>zoge</t>
  </si>
  <si>
    <t>High_Overlap</t>
  </si>
  <si>
    <t>Low_Overlap</t>
  </si>
  <si>
    <t>SpeakerRatings</t>
  </si>
  <si>
    <t>HMAXRatings</t>
  </si>
  <si>
    <t>ST DEV</t>
  </si>
  <si>
    <t>ST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</si>
</sst>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16" fillId="0" borderId="0" xfId="0" applyFont="1" applyAlignment="1">
      <alignment horizontal="center"/>
    </xf>
    <xf numFmtId="0" fontId="0" fillId="0" borderId="0" xfId="0" applyBorder="1"/>
    <xf numFmtId="0" fontId="0" fillId="0" borderId="0" xfId="0" applyFill="1" applyBorder="1" applyAlignment="1"/>
    <xf numFmtId="2" fontId="0" fillId="0" borderId="0" xfId="0" applyNumberFormat="1" applyFill="1" applyBorder="1" applyAlignme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6" fillId="0" borderId="0" xfId="0" applyNumberFormat="1" applyFont="1" applyAlignment="1">
      <alignment horizontal="center"/>
    </xf>
    <xf numFmtId="2" fontId="21" fillId="33" borderId="0" xfId="0" applyNumberFormat="1" applyFont="1" applyFill="1" applyBorder="1" applyAlignment="1">
      <alignment horizontal="center"/>
    </xf>
    <xf numFmtId="2" fontId="22" fillId="0" borderId="0" xfId="0" applyNumberFormat="1" applyFont="1" applyFill="1" applyAlignment="1">
      <alignment horizontal="center"/>
    </xf>
    <xf numFmtId="2" fontId="22" fillId="0" borderId="0" xfId="0" applyNumberFormat="1" applyFont="1" applyAlignment="1">
      <alignment horizontal="center"/>
    </xf>
    <xf numFmtId="2" fontId="22" fillId="33" borderId="0" xfId="0" applyNumberFormat="1" applyFont="1" applyFill="1" applyAlignment="1">
      <alignment horizontal="center"/>
    </xf>
    <xf numFmtId="2" fontId="22" fillId="0" borderId="0" xfId="0" applyNumberFormat="1" applyFont="1" applyBorder="1" applyAlignment="1">
      <alignment horizontal="center"/>
    </xf>
    <xf numFmtId="2" fontId="22" fillId="33" borderId="0" xfId="0" applyNumberFormat="1" applyFont="1" applyFill="1" applyBorder="1" applyAlignment="1">
      <alignment horizontal="center"/>
    </xf>
    <xf numFmtId="1" fontId="0" fillId="0" borderId="0" xfId="0" applyNumberFormat="1" applyBorder="1"/>
    <xf numFmtId="0" fontId="16" fillId="0" borderId="0" xfId="0" applyFont="1" applyBorder="1"/>
    <xf numFmtId="0" fontId="23" fillId="0" borderId="0" xfId="0" applyFont="1" applyBorder="1"/>
    <xf numFmtId="0" fontId="1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16" fillId="0" borderId="0" xfId="0" applyFont="1"/>
    <xf numFmtId="0" fontId="0" fillId="0" borderId="0" xfId="0" applyFont="1"/>
    <xf numFmtId="0" fontId="26" fillId="0" borderId="0" xfId="0" applyFont="1"/>
    <xf numFmtId="0" fontId="16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9" fillId="0" borderId="0" xfId="0" applyFont="1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2" fontId="0" fillId="0" borderId="0" xfId="0" applyNumberFormat="1" applyBorder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18" fillId="0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2" fontId="27" fillId="0" borderId="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tabSelected="1" topLeftCell="C1" workbookViewId="0">
      <selection sqref="A1:C1"/>
    </sheetView>
  </sheetViews>
  <sheetFormatPr defaultRowHeight="15" x14ac:dyDescent="0.25"/>
  <cols>
    <col min="1" max="1" width="9.140625" style="36"/>
    <col min="2" max="2" width="13.85546875" style="36" customWidth="1"/>
    <col min="3" max="3" width="9.140625" style="36"/>
    <col min="4" max="6" width="15.140625" style="36" customWidth="1"/>
    <col min="7" max="7" width="2.42578125" style="36" customWidth="1"/>
    <col min="8" max="10" width="15.140625" style="34" customWidth="1"/>
    <col min="11" max="11" width="2.42578125" style="34" customWidth="1"/>
    <col min="12" max="14" width="15.140625" style="34" customWidth="1"/>
    <col min="16" max="19" width="15" style="7" customWidth="1"/>
  </cols>
  <sheetData>
    <row r="1" spans="1:23" x14ac:dyDescent="0.25">
      <c r="A1" s="41" t="s">
        <v>196</v>
      </c>
      <c r="B1" s="41"/>
      <c r="C1" s="41"/>
      <c r="D1" s="41" t="s">
        <v>191</v>
      </c>
      <c r="E1" s="41"/>
      <c r="F1" s="41"/>
      <c r="G1" s="37"/>
      <c r="H1" s="42" t="s">
        <v>192</v>
      </c>
      <c r="I1" s="42"/>
      <c r="J1" s="42"/>
      <c r="K1" s="18"/>
      <c r="L1" s="42" t="s">
        <v>197</v>
      </c>
      <c r="M1" s="42"/>
      <c r="N1" s="42"/>
      <c r="P1" s="43" t="s">
        <v>494</v>
      </c>
      <c r="Q1" s="43"/>
      <c r="R1" s="43" t="s">
        <v>495</v>
      </c>
      <c r="S1" s="43"/>
      <c r="T1" s="2"/>
      <c r="U1" s="2"/>
    </row>
    <row r="2" spans="1:23" x14ac:dyDescent="0.25">
      <c r="A2" s="37" t="s">
        <v>146</v>
      </c>
      <c r="B2" s="37" t="s">
        <v>148</v>
      </c>
      <c r="C2" s="37" t="s">
        <v>147</v>
      </c>
      <c r="D2" s="37" t="s">
        <v>198</v>
      </c>
      <c r="E2" s="37" t="s">
        <v>199</v>
      </c>
      <c r="F2" s="37" t="s">
        <v>200</v>
      </c>
      <c r="G2" s="37"/>
      <c r="H2" s="18" t="s">
        <v>193</v>
      </c>
      <c r="I2" s="18" t="s">
        <v>194</v>
      </c>
      <c r="J2" s="18" t="s">
        <v>195</v>
      </c>
      <c r="K2" s="18"/>
      <c r="L2" s="18" t="s">
        <v>201</v>
      </c>
      <c r="M2" s="18" t="s">
        <v>202</v>
      </c>
      <c r="N2" s="18" t="s">
        <v>203</v>
      </c>
      <c r="P2" s="40" t="s">
        <v>492</v>
      </c>
      <c r="Q2" s="40" t="s">
        <v>493</v>
      </c>
      <c r="R2" s="40" t="s">
        <v>492</v>
      </c>
      <c r="S2" s="40" t="s">
        <v>493</v>
      </c>
    </row>
    <row r="3" spans="1:23" x14ac:dyDescent="0.25">
      <c r="A3" s="36" t="s">
        <v>144</v>
      </c>
      <c r="B3" s="36">
        <v>2</v>
      </c>
      <c r="C3" s="36">
        <v>4</v>
      </c>
      <c r="D3" s="36" t="s">
        <v>18</v>
      </c>
      <c r="E3" s="36" t="s">
        <v>9</v>
      </c>
      <c r="F3" s="36" t="s">
        <v>21</v>
      </c>
      <c r="H3" s="36" t="s">
        <v>348</v>
      </c>
      <c r="I3" s="36" t="s">
        <v>349</v>
      </c>
      <c r="J3" s="36" t="s">
        <v>350</v>
      </c>
      <c r="L3" s="34" t="s">
        <v>204</v>
      </c>
      <c r="M3" s="34" t="s">
        <v>205</v>
      </c>
      <c r="N3" s="34" t="s">
        <v>206</v>
      </c>
      <c r="P3" s="44">
        <v>5.5333333333333332</v>
      </c>
      <c r="Q3" s="44">
        <v>1.1000000000000001</v>
      </c>
      <c r="R3" s="6">
        <v>0.86536000000000002</v>
      </c>
      <c r="S3" s="6">
        <v>0.60109999999999997</v>
      </c>
      <c r="U3" s="34"/>
      <c r="V3" s="34"/>
      <c r="W3" s="34"/>
    </row>
    <row r="4" spans="1:23" x14ac:dyDescent="0.25">
      <c r="A4" s="36" t="s">
        <v>144</v>
      </c>
      <c r="B4" s="36">
        <v>2</v>
      </c>
      <c r="C4" s="36">
        <v>4</v>
      </c>
      <c r="D4" s="36" t="s">
        <v>14</v>
      </c>
      <c r="E4" s="36" t="s">
        <v>15</v>
      </c>
      <c r="F4" s="36" t="s">
        <v>10</v>
      </c>
      <c r="H4" s="36" t="s">
        <v>351</v>
      </c>
      <c r="I4" s="36" t="s">
        <v>352</v>
      </c>
      <c r="J4" s="36" t="s">
        <v>353</v>
      </c>
      <c r="L4" s="34" t="s">
        <v>207</v>
      </c>
      <c r="M4" s="34" t="s">
        <v>208</v>
      </c>
      <c r="N4" s="34" t="s">
        <v>209</v>
      </c>
      <c r="P4" s="44">
        <v>5.5333333333333332</v>
      </c>
      <c r="Q4" s="44">
        <v>1.3666666666666667</v>
      </c>
      <c r="R4" s="6">
        <v>0.86536000000000002</v>
      </c>
      <c r="S4" s="6">
        <v>0.46775</v>
      </c>
      <c r="U4" s="34"/>
      <c r="V4" s="34"/>
      <c r="W4" s="34"/>
    </row>
    <row r="5" spans="1:23" x14ac:dyDescent="0.25">
      <c r="A5" s="36" t="s">
        <v>144</v>
      </c>
      <c r="B5" s="36">
        <v>4</v>
      </c>
      <c r="C5" s="36">
        <v>5</v>
      </c>
      <c r="D5" s="36" t="s">
        <v>1</v>
      </c>
      <c r="E5" s="36" t="s">
        <v>5</v>
      </c>
      <c r="F5" s="36" t="s">
        <v>0</v>
      </c>
      <c r="H5" s="36" t="s">
        <v>354</v>
      </c>
      <c r="I5" s="36" t="s">
        <v>355</v>
      </c>
      <c r="J5" s="36" t="s">
        <v>356</v>
      </c>
      <c r="L5" s="34" t="s">
        <v>210</v>
      </c>
      <c r="M5" s="34" t="s">
        <v>211</v>
      </c>
      <c r="N5" s="34" t="s">
        <v>212</v>
      </c>
      <c r="P5" s="44">
        <v>5.096774193548387</v>
      </c>
      <c r="Q5" s="44">
        <v>1.1333333333333333</v>
      </c>
      <c r="R5" s="6">
        <v>0.48985000000000001</v>
      </c>
      <c r="S5" s="6">
        <v>0.49110999999999999</v>
      </c>
      <c r="U5" s="34"/>
      <c r="V5" s="34"/>
      <c r="W5" s="34"/>
    </row>
    <row r="6" spans="1:23" x14ac:dyDescent="0.25">
      <c r="A6" s="36" t="s">
        <v>145</v>
      </c>
      <c r="B6" s="36">
        <v>4</v>
      </c>
      <c r="C6" s="36">
        <v>4</v>
      </c>
      <c r="D6" s="36" t="s">
        <v>124</v>
      </c>
      <c r="E6" s="36" t="s">
        <v>25</v>
      </c>
      <c r="F6" s="36" t="s">
        <v>93</v>
      </c>
      <c r="H6" s="36" t="s">
        <v>357</v>
      </c>
      <c r="I6" s="36" t="s">
        <v>358</v>
      </c>
      <c r="J6" s="36" t="s">
        <v>359</v>
      </c>
      <c r="L6" s="34" t="s">
        <v>213</v>
      </c>
      <c r="M6" s="34" t="s">
        <v>214</v>
      </c>
      <c r="N6" s="34" t="s">
        <v>215</v>
      </c>
      <c r="P6" s="44">
        <v>5.096774193548387</v>
      </c>
      <c r="Q6" s="44">
        <v>1.1333333333333333</v>
      </c>
      <c r="R6" s="6">
        <v>0.48985000000000001</v>
      </c>
      <c r="S6" s="6">
        <v>0.58091000000000004</v>
      </c>
      <c r="U6" s="34"/>
      <c r="V6" s="34"/>
      <c r="W6" s="34"/>
    </row>
    <row r="7" spans="1:23" x14ac:dyDescent="0.25">
      <c r="A7" s="36" t="s">
        <v>144</v>
      </c>
      <c r="B7" s="36">
        <v>4</v>
      </c>
      <c r="C7" s="36">
        <v>5</v>
      </c>
      <c r="D7" s="36" t="s">
        <v>37</v>
      </c>
      <c r="E7" s="36" t="s">
        <v>35</v>
      </c>
      <c r="F7" s="36" t="s">
        <v>43</v>
      </c>
      <c r="H7" s="36" t="s">
        <v>360</v>
      </c>
      <c r="I7" s="36" t="s">
        <v>361</v>
      </c>
      <c r="J7" s="36" t="s">
        <v>362</v>
      </c>
      <c r="L7" s="34" t="s">
        <v>216</v>
      </c>
      <c r="M7" s="34" t="s">
        <v>217</v>
      </c>
      <c r="N7" s="34" t="s">
        <v>218</v>
      </c>
      <c r="P7" s="44">
        <v>5.096774193548387</v>
      </c>
      <c r="Q7" s="44">
        <v>1.1333333333333333</v>
      </c>
      <c r="R7" s="6">
        <v>0.48985000000000001</v>
      </c>
      <c r="S7" s="6">
        <v>0.49110999999999999</v>
      </c>
      <c r="U7" s="34"/>
      <c r="V7" s="34"/>
      <c r="W7" s="34"/>
    </row>
    <row r="8" spans="1:23" x14ac:dyDescent="0.25">
      <c r="A8" s="36" t="s">
        <v>144</v>
      </c>
      <c r="B8" s="36">
        <v>5</v>
      </c>
      <c r="C8" s="36">
        <v>6</v>
      </c>
      <c r="D8" s="36" t="s">
        <v>75</v>
      </c>
      <c r="E8" s="36" t="s">
        <v>45</v>
      </c>
      <c r="F8" s="36" t="s">
        <v>58</v>
      </c>
      <c r="H8" s="36" t="s">
        <v>363</v>
      </c>
      <c r="I8" s="36" t="s">
        <v>364</v>
      </c>
      <c r="J8" s="36" t="s">
        <v>365</v>
      </c>
      <c r="L8" s="34" t="s">
        <v>219</v>
      </c>
      <c r="M8" s="34" t="s">
        <v>220</v>
      </c>
      <c r="N8" s="34" t="s">
        <v>221</v>
      </c>
      <c r="P8" s="44">
        <v>5.096774193548387</v>
      </c>
      <c r="Q8" s="44">
        <v>1.1333333333333333</v>
      </c>
      <c r="R8" s="6">
        <v>0.48985000000000001</v>
      </c>
      <c r="S8" s="6">
        <v>0.49110999999999999</v>
      </c>
      <c r="U8" s="34"/>
      <c r="V8" s="34"/>
      <c r="W8" s="34"/>
    </row>
    <row r="9" spans="1:23" x14ac:dyDescent="0.25">
      <c r="A9" s="36" t="s">
        <v>145</v>
      </c>
      <c r="B9" s="36">
        <v>4</v>
      </c>
      <c r="C9" s="36">
        <v>4</v>
      </c>
      <c r="D9" s="36" t="s">
        <v>113</v>
      </c>
      <c r="E9" s="36" t="s">
        <v>41</v>
      </c>
      <c r="F9" s="36" t="s">
        <v>92</v>
      </c>
      <c r="H9" s="36" t="s">
        <v>366</v>
      </c>
      <c r="I9" s="36" t="s">
        <v>367</v>
      </c>
      <c r="J9" s="36" t="s">
        <v>368</v>
      </c>
      <c r="L9" s="34" t="s">
        <v>222</v>
      </c>
      <c r="M9" s="34" t="s">
        <v>223</v>
      </c>
      <c r="N9" s="34" t="s">
        <v>224</v>
      </c>
      <c r="P9" s="44">
        <v>5.096774193548387</v>
      </c>
      <c r="Q9" s="44">
        <v>1.3333333333333333</v>
      </c>
      <c r="R9" s="6">
        <v>0.48985000000000001</v>
      </c>
      <c r="S9" s="6">
        <v>0.49181999999999998</v>
      </c>
      <c r="U9" s="34"/>
      <c r="V9" s="34"/>
      <c r="W9" s="34"/>
    </row>
    <row r="10" spans="1:23" x14ac:dyDescent="0.25">
      <c r="A10" s="36" t="s">
        <v>145</v>
      </c>
      <c r="B10" s="36">
        <v>4</v>
      </c>
      <c r="C10" s="36">
        <v>4</v>
      </c>
      <c r="D10" s="36" t="s">
        <v>127</v>
      </c>
      <c r="E10" s="36" t="s">
        <v>38</v>
      </c>
      <c r="F10" s="36" t="s">
        <v>99</v>
      </c>
      <c r="H10" s="36" t="s">
        <v>369</v>
      </c>
      <c r="I10" s="36" t="s">
        <v>370</v>
      </c>
      <c r="J10" s="36" t="s">
        <v>371</v>
      </c>
      <c r="L10" s="34" t="s">
        <v>225</v>
      </c>
      <c r="M10" s="34" t="s">
        <v>226</v>
      </c>
      <c r="N10" s="34" t="s">
        <v>227</v>
      </c>
      <c r="P10" s="44">
        <v>5.096774193548387</v>
      </c>
      <c r="Q10" s="44">
        <v>1.3333333333333333</v>
      </c>
      <c r="R10" s="6">
        <v>0.48985000000000001</v>
      </c>
      <c r="S10" s="6">
        <v>0.39960000000000001</v>
      </c>
      <c r="U10" s="34"/>
      <c r="V10" s="34"/>
      <c r="W10" s="34"/>
    </row>
    <row r="11" spans="1:23" x14ac:dyDescent="0.25">
      <c r="A11" s="35" t="s">
        <v>145</v>
      </c>
      <c r="B11" s="35">
        <v>4</v>
      </c>
      <c r="C11" s="35">
        <v>4</v>
      </c>
      <c r="D11" s="35" t="s">
        <v>33</v>
      </c>
      <c r="E11" s="35" t="s">
        <v>80</v>
      </c>
      <c r="F11" s="35" t="s">
        <v>46</v>
      </c>
      <c r="G11" s="35"/>
      <c r="H11" s="36" t="s">
        <v>372</v>
      </c>
      <c r="I11" s="36" t="s">
        <v>373</v>
      </c>
      <c r="J11" s="36" t="s">
        <v>374</v>
      </c>
      <c r="L11" s="34" t="s">
        <v>228</v>
      </c>
      <c r="M11" s="34" t="s">
        <v>229</v>
      </c>
      <c r="N11" s="34" t="s">
        <v>230</v>
      </c>
      <c r="P11" s="44">
        <v>5.096774193548387</v>
      </c>
      <c r="Q11" s="44">
        <v>1.1333333333333333</v>
      </c>
      <c r="R11" s="6">
        <v>0.48985000000000001</v>
      </c>
      <c r="S11" s="6">
        <v>0.58091000000000004</v>
      </c>
      <c r="U11" s="34"/>
      <c r="V11" s="34"/>
      <c r="W11" s="34"/>
    </row>
    <row r="12" spans="1:23" x14ac:dyDescent="0.25">
      <c r="A12" s="35" t="s">
        <v>145</v>
      </c>
      <c r="B12" s="35">
        <v>4</v>
      </c>
      <c r="C12" s="35">
        <v>4</v>
      </c>
      <c r="D12" s="35" t="s">
        <v>125</v>
      </c>
      <c r="E12" s="35" t="s">
        <v>119</v>
      </c>
      <c r="F12" s="35" t="s">
        <v>133</v>
      </c>
      <c r="G12" s="35"/>
      <c r="H12" s="36" t="s">
        <v>375</v>
      </c>
      <c r="I12" s="36" t="s">
        <v>376</v>
      </c>
      <c r="J12" s="36" t="s">
        <v>377</v>
      </c>
      <c r="L12" s="34" t="s">
        <v>231</v>
      </c>
      <c r="M12" s="34" t="s">
        <v>232</v>
      </c>
      <c r="N12" s="34" t="s">
        <v>233</v>
      </c>
      <c r="P12" s="44">
        <v>5.096774193548387</v>
      </c>
      <c r="Q12" s="44">
        <v>1.3333333333333333</v>
      </c>
      <c r="R12" s="6">
        <v>0.48985000000000001</v>
      </c>
      <c r="S12" s="6">
        <v>0.39960000000000001</v>
      </c>
      <c r="U12" s="34"/>
      <c r="V12" s="34"/>
      <c r="W12" s="34"/>
    </row>
    <row r="13" spans="1:23" x14ac:dyDescent="0.25">
      <c r="A13" s="36" t="s">
        <v>145</v>
      </c>
      <c r="B13" s="36">
        <v>4</v>
      </c>
      <c r="C13" s="36">
        <v>4</v>
      </c>
      <c r="D13" s="36" t="s">
        <v>29</v>
      </c>
      <c r="E13" s="36" t="s">
        <v>16</v>
      </c>
      <c r="F13" s="36" t="s">
        <v>100</v>
      </c>
      <c r="H13" s="36" t="s">
        <v>378</v>
      </c>
      <c r="I13" s="36" t="s">
        <v>379</v>
      </c>
      <c r="J13" s="36" t="s">
        <v>380</v>
      </c>
      <c r="L13" s="34" t="s">
        <v>234</v>
      </c>
      <c r="M13" s="34" t="s">
        <v>235</v>
      </c>
      <c r="N13" s="34" t="s">
        <v>236</v>
      </c>
      <c r="P13" s="44">
        <v>5.096774193548387</v>
      </c>
      <c r="Q13" s="44">
        <v>1.3333333333333333</v>
      </c>
      <c r="R13" s="6">
        <v>0.48985000000000001</v>
      </c>
      <c r="S13" s="6">
        <v>0.39960000000000001</v>
      </c>
      <c r="U13" s="34"/>
      <c r="V13" s="34"/>
      <c r="W13" s="34"/>
    </row>
    <row r="14" spans="1:23" x14ac:dyDescent="0.25">
      <c r="A14" s="36" t="s">
        <v>145</v>
      </c>
      <c r="B14" s="36">
        <v>4</v>
      </c>
      <c r="C14" s="36">
        <v>4</v>
      </c>
      <c r="D14" s="36" t="s">
        <v>117</v>
      </c>
      <c r="E14" s="36" t="s">
        <v>139</v>
      </c>
      <c r="F14" s="36" t="s">
        <v>132</v>
      </c>
      <c r="H14" s="36" t="s">
        <v>381</v>
      </c>
      <c r="I14" s="36" t="s">
        <v>382</v>
      </c>
      <c r="J14" s="36" t="s">
        <v>383</v>
      </c>
      <c r="L14" s="34" t="s">
        <v>237</v>
      </c>
      <c r="M14" s="34" t="s">
        <v>238</v>
      </c>
      <c r="N14" s="34" t="s">
        <v>239</v>
      </c>
      <c r="P14" s="44">
        <v>5.096774193548387</v>
      </c>
      <c r="Q14" s="44">
        <v>1.3333333333333333</v>
      </c>
      <c r="R14" s="6">
        <v>0.48985000000000001</v>
      </c>
      <c r="S14" s="6">
        <v>0.53002000000000005</v>
      </c>
      <c r="U14" s="34"/>
      <c r="V14" s="34"/>
      <c r="W14" s="34"/>
    </row>
    <row r="15" spans="1:23" x14ac:dyDescent="0.25">
      <c r="A15" s="36" t="s">
        <v>145</v>
      </c>
      <c r="B15" s="36">
        <v>4</v>
      </c>
      <c r="C15" s="36">
        <v>4</v>
      </c>
      <c r="D15" s="36" t="s">
        <v>105</v>
      </c>
      <c r="E15" s="36" t="s">
        <v>17</v>
      </c>
      <c r="F15" s="36" t="s">
        <v>59</v>
      </c>
      <c r="H15" s="36" t="s">
        <v>384</v>
      </c>
      <c r="I15" s="36" t="s">
        <v>385</v>
      </c>
      <c r="J15" s="36" t="s">
        <v>386</v>
      </c>
      <c r="L15" s="34" t="s">
        <v>240</v>
      </c>
      <c r="M15" s="34" t="s">
        <v>241</v>
      </c>
      <c r="N15" s="34" t="s">
        <v>242</v>
      </c>
      <c r="P15" s="44">
        <v>5.0666666666666664</v>
      </c>
      <c r="Q15" s="44">
        <v>1.2333333333333334</v>
      </c>
      <c r="R15" s="6">
        <v>0.70362000000000002</v>
      </c>
      <c r="S15" s="6">
        <v>0.57840000000000003</v>
      </c>
      <c r="U15" s="34"/>
      <c r="V15" s="34"/>
      <c r="W15" s="34"/>
    </row>
    <row r="16" spans="1:23" x14ac:dyDescent="0.25">
      <c r="A16" s="36" t="s">
        <v>144</v>
      </c>
      <c r="B16" s="36">
        <v>3</v>
      </c>
      <c r="C16" s="36">
        <v>4</v>
      </c>
      <c r="D16" s="36" t="s">
        <v>51</v>
      </c>
      <c r="E16" s="36" t="s">
        <v>123</v>
      </c>
      <c r="F16" s="36" t="s">
        <v>42</v>
      </c>
      <c r="H16" s="36" t="s">
        <v>387</v>
      </c>
      <c r="I16" s="36" t="s">
        <v>388</v>
      </c>
      <c r="J16" s="36" t="s">
        <v>389</v>
      </c>
      <c r="L16" s="34" t="s">
        <v>243</v>
      </c>
      <c r="M16" s="34" t="s">
        <v>244</v>
      </c>
      <c r="N16" s="34" t="s">
        <v>245</v>
      </c>
      <c r="P16" s="44">
        <v>5.0666666666666664</v>
      </c>
      <c r="Q16" s="44">
        <v>1.2580645161290323</v>
      </c>
      <c r="R16" s="6">
        <v>0.70362000000000002</v>
      </c>
      <c r="S16" s="6">
        <v>0.57669999999999999</v>
      </c>
      <c r="U16" s="34"/>
      <c r="V16" s="34"/>
      <c r="W16" s="34"/>
    </row>
    <row r="17" spans="1:23" x14ac:dyDescent="0.25">
      <c r="A17" s="36" t="s">
        <v>145</v>
      </c>
      <c r="B17" s="36">
        <v>4</v>
      </c>
      <c r="C17" s="36">
        <v>4</v>
      </c>
      <c r="D17" s="36" t="s">
        <v>115</v>
      </c>
      <c r="E17" s="36" t="s">
        <v>134</v>
      </c>
      <c r="F17" s="36" t="s">
        <v>23</v>
      </c>
      <c r="H17" s="36" t="s">
        <v>390</v>
      </c>
      <c r="I17" s="36" t="s">
        <v>391</v>
      </c>
      <c r="J17" s="36" t="s">
        <v>392</v>
      </c>
      <c r="L17" s="34" t="s">
        <v>246</v>
      </c>
      <c r="M17" s="34" t="s">
        <v>247</v>
      </c>
      <c r="N17" s="34" t="s">
        <v>248</v>
      </c>
      <c r="P17" s="44">
        <v>4.666666666666667</v>
      </c>
      <c r="Q17" s="44">
        <v>1.0666666666666667</v>
      </c>
      <c r="R17" s="6">
        <v>0.65739999999999998</v>
      </c>
      <c r="S17" s="6">
        <v>0.52673999999999999</v>
      </c>
      <c r="U17" s="34"/>
      <c r="V17" s="34"/>
      <c r="W17" s="34"/>
    </row>
    <row r="18" spans="1:23" x14ac:dyDescent="0.25">
      <c r="A18" s="36" t="s">
        <v>144</v>
      </c>
      <c r="B18" s="36">
        <v>3</v>
      </c>
      <c r="C18" s="36">
        <v>4</v>
      </c>
      <c r="D18" s="36" t="s">
        <v>102</v>
      </c>
      <c r="E18" s="36" t="s">
        <v>90</v>
      </c>
      <c r="F18" s="36" t="s">
        <v>48</v>
      </c>
      <c r="H18" s="36" t="s">
        <v>393</v>
      </c>
      <c r="I18" s="36" t="s">
        <v>394</v>
      </c>
      <c r="J18" s="36" t="s">
        <v>395</v>
      </c>
      <c r="L18" s="34" t="s">
        <v>249</v>
      </c>
      <c r="M18" s="34" t="s">
        <v>250</v>
      </c>
      <c r="N18" s="34" t="s">
        <v>251</v>
      </c>
      <c r="P18" s="44">
        <v>4.666666666666667</v>
      </c>
      <c r="Q18" s="44">
        <v>1.0666666666666667</v>
      </c>
      <c r="R18" s="6">
        <v>0.65739999999999998</v>
      </c>
      <c r="S18" s="6">
        <v>0.51129999999999998</v>
      </c>
      <c r="U18" s="34"/>
      <c r="V18" s="34"/>
      <c r="W18" s="34"/>
    </row>
    <row r="19" spans="1:23" x14ac:dyDescent="0.25">
      <c r="A19" s="36" t="s">
        <v>145</v>
      </c>
      <c r="B19" s="36">
        <v>4</v>
      </c>
      <c r="C19" s="36">
        <v>4</v>
      </c>
      <c r="D19" s="36" t="s">
        <v>74</v>
      </c>
      <c r="E19" s="36" t="s">
        <v>44</v>
      </c>
      <c r="F19" s="36" t="s">
        <v>108</v>
      </c>
      <c r="H19" s="36" t="s">
        <v>396</v>
      </c>
      <c r="I19" s="36" t="s">
        <v>397</v>
      </c>
      <c r="J19" s="36" t="s">
        <v>398</v>
      </c>
      <c r="L19" s="34" t="s">
        <v>252</v>
      </c>
      <c r="M19" s="34" t="s">
        <v>253</v>
      </c>
      <c r="N19" s="34" t="s">
        <v>254</v>
      </c>
      <c r="P19" s="44">
        <v>4.666666666666667</v>
      </c>
      <c r="Q19" s="44">
        <v>1.2333333333333334</v>
      </c>
      <c r="R19" s="6">
        <v>0.65739999999999998</v>
      </c>
      <c r="S19" s="6">
        <v>0.57840000000000003</v>
      </c>
      <c r="U19" s="34"/>
      <c r="V19" s="34"/>
      <c r="W19" s="34"/>
    </row>
    <row r="20" spans="1:23" x14ac:dyDescent="0.25">
      <c r="A20" s="35" t="s">
        <v>144</v>
      </c>
      <c r="B20" s="35">
        <v>3</v>
      </c>
      <c r="C20" s="35">
        <v>4</v>
      </c>
      <c r="D20" s="35" t="s">
        <v>22</v>
      </c>
      <c r="E20" s="35" t="s">
        <v>27</v>
      </c>
      <c r="F20" s="35" t="s">
        <v>24</v>
      </c>
      <c r="G20" s="35"/>
      <c r="H20" s="36" t="s">
        <v>399</v>
      </c>
      <c r="I20" s="36" t="s">
        <v>400</v>
      </c>
      <c r="J20" s="36" t="s">
        <v>401</v>
      </c>
      <c r="L20" s="34" t="s">
        <v>255</v>
      </c>
      <c r="M20" s="34" t="s">
        <v>256</v>
      </c>
      <c r="N20" s="34" t="s">
        <v>257</v>
      </c>
      <c r="P20" s="44">
        <v>4.666666666666667</v>
      </c>
      <c r="Q20" s="44">
        <v>1.0666666666666667</v>
      </c>
      <c r="R20" s="6">
        <v>0.65739999999999998</v>
      </c>
      <c r="S20" s="6">
        <v>0.51129999999999998</v>
      </c>
      <c r="U20" s="34"/>
      <c r="V20" s="34"/>
      <c r="W20" s="34"/>
    </row>
    <row r="21" spans="1:23" x14ac:dyDescent="0.25">
      <c r="A21" s="35" t="s">
        <v>145</v>
      </c>
      <c r="B21" s="35">
        <v>4</v>
      </c>
      <c r="C21" s="35">
        <v>4</v>
      </c>
      <c r="D21" s="35" t="s">
        <v>65</v>
      </c>
      <c r="E21" s="35" t="s">
        <v>114</v>
      </c>
      <c r="F21" s="35" t="s">
        <v>79</v>
      </c>
      <c r="G21" s="35"/>
      <c r="H21" s="36" t="s">
        <v>402</v>
      </c>
      <c r="I21" s="36" t="s">
        <v>403</v>
      </c>
      <c r="J21" s="36" t="s">
        <v>404</v>
      </c>
      <c r="L21" s="34" t="s">
        <v>258</v>
      </c>
      <c r="M21" s="34" t="s">
        <v>259</v>
      </c>
      <c r="N21" s="34" t="s">
        <v>260</v>
      </c>
      <c r="P21" s="44">
        <v>4.666666666666667</v>
      </c>
      <c r="Q21" s="44">
        <v>1.0666666666666667</v>
      </c>
      <c r="R21" s="6">
        <v>0.65739999999999998</v>
      </c>
      <c r="S21" s="6">
        <v>0.52673999999999999</v>
      </c>
      <c r="U21" s="34"/>
      <c r="V21" s="34"/>
      <c r="W21" s="34"/>
    </row>
    <row r="22" spans="1:23" x14ac:dyDescent="0.25">
      <c r="A22" s="36" t="s">
        <v>144</v>
      </c>
      <c r="B22" s="36">
        <v>3</v>
      </c>
      <c r="C22" s="36">
        <v>4</v>
      </c>
      <c r="D22" s="36" t="s">
        <v>84</v>
      </c>
      <c r="E22" s="36" t="s">
        <v>104</v>
      </c>
      <c r="F22" s="36" t="s">
        <v>95</v>
      </c>
      <c r="H22" s="36" t="s">
        <v>405</v>
      </c>
      <c r="I22" s="36" t="s">
        <v>406</v>
      </c>
      <c r="J22" s="36" t="s">
        <v>407</v>
      </c>
      <c r="L22" s="34" t="s">
        <v>261</v>
      </c>
      <c r="M22" s="34" t="s">
        <v>262</v>
      </c>
      <c r="N22" s="34" t="s">
        <v>263</v>
      </c>
      <c r="P22" s="44">
        <v>4.5</v>
      </c>
      <c r="Q22" s="44">
        <v>1.0666666666666667</v>
      </c>
      <c r="R22" s="6">
        <v>0.47576000000000002</v>
      </c>
      <c r="S22" s="6">
        <v>0.52673999999999999</v>
      </c>
      <c r="U22" s="34"/>
      <c r="V22" s="34"/>
      <c r="W22" s="34"/>
    </row>
    <row r="23" spans="1:23" x14ac:dyDescent="0.25">
      <c r="A23" s="36" t="s">
        <v>145</v>
      </c>
      <c r="B23" s="36">
        <v>4</v>
      </c>
      <c r="C23" s="36">
        <v>4</v>
      </c>
      <c r="D23" s="36" t="s">
        <v>101</v>
      </c>
      <c r="E23" s="36" t="s">
        <v>40</v>
      </c>
      <c r="F23" s="36" t="s">
        <v>86</v>
      </c>
      <c r="H23" s="36" t="s">
        <v>408</v>
      </c>
      <c r="I23" s="36" t="s">
        <v>409</v>
      </c>
      <c r="J23" s="36" t="s">
        <v>410</v>
      </c>
      <c r="L23" s="34" t="s">
        <v>264</v>
      </c>
      <c r="M23" s="34" t="s">
        <v>265</v>
      </c>
      <c r="N23" s="34" t="s">
        <v>266</v>
      </c>
      <c r="P23" s="44">
        <v>4.5</v>
      </c>
      <c r="Q23" s="44">
        <v>1.1666666666666667</v>
      </c>
      <c r="R23" s="6">
        <v>0.55857000000000001</v>
      </c>
      <c r="S23" s="6">
        <v>0.52446000000000004</v>
      </c>
      <c r="U23" s="34"/>
      <c r="V23" s="34"/>
      <c r="W23" s="34"/>
    </row>
    <row r="24" spans="1:23" x14ac:dyDescent="0.25">
      <c r="A24" s="36" t="s">
        <v>145</v>
      </c>
      <c r="B24" s="35">
        <v>4</v>
      </c>
      <c r="C24" s="35">
        <v>4</v>
      </c>
      <c r="D24" s="36" t="s">
        <v>64</v>
      </c>
      <c r="E24" s="36" t="s">
        <v>36</v>
      </c>
      <c r="F24" s="36" t="s">
        <v>54</v>
      </c>
      <c r="H24" s="36" t="s">
        <v>411</v>
      </c>
      <c r="I24" s="36" t="s">
        <v>412</v>
      </c>
      <c r="J24" s="36" t="s">
        <v>413</v>
      </c>
      <c r="L24" s="34" t="s">
        <v>267</v>
      </c>
      <c r="M24" s="34" t="s">
        <v>268</v>
      </c>
      <c r="N24" s="34" t="s">
        <v>269</v>
      </c>
      <c r="P24" s="44">
        <v>4.5</v>
      </c>
      <c r="Q24" s="44">
        <v>1.7</v>
      </c>
      <c r="R24" s="6">
        <v>0.55857000000000001</v>
      </c>
      <c r="S24" s="6">
        <v>0.55212000000000006</v>
      </c>
      <c r="U24" s="34"/>
      <c r="V24" s="34"/>
      <c r="W24" s="34"/>
    </row>
    <row r="25" spans="1:23" x14ac:dyDescent="0.25">
      <c r="A25" s="36" t="s">
        <v>145</v>
      </c>
      <c r="B25" s="36">
        <v>4</v>
      </c>
      <c r="C25" s="36">
        <v>4</v>
      </c>
      <c r="D25" s="36" t="s">
        <v>116</v>
      </c>
      <c r="E25" s="36" t="s">
        <v>39</v>
      </c>
      <c r="F25" s="36" t="s">
        <v>128</v>
      </c>
      <c r="H25" s="36" t="s">
        <v>414</v>
      </c>
      <c r="I25" s="36" t="s">
        <v>415</v>
      </c>
      <c r="J25" s="36" t="s">
        <v>416</v>
      </c>
      <c r="L25" s="34" t="s">
        <v>270</v>
      </c>
      <c r="M25" s="34" t="s">
        <v>271</v>
      </c>
      <c r="N25" s="34" t="s">
        <v>272</v>
      </c>
      <c r="P25" s="44">
        <v>4.5</v>
      </c>
      <c r="Q25" s="44">
        <v>1.1333333333333333</v>
      </c>
      <c r="R25" s="6">
        <v>0.55857000000000001</v>
      </c>
      <c r="S25" s="6">
        <v>0.44178000000000001</v>
      </c>
      <c r="U25" s="34"/>
      <c r="V25" s="34"/>
      <c r="W25" s="34"/>
    </row>
    <row r="26" spans="1:23" x14ac:dyDescent="0.25">
      <c r="A26" s="36" t="s">
        <v>144</v>
      </c>
      <c r="B26" s="36">
        <v>3</v>
      </c>
      <c r="C26" s="36">
        <v>4</v>
      </c>
      <c r="D26" s="36" t="s">
        <v>91</v>
      </c>
      <c r="E26" s="36" t="s">
        <v>142</v>
      </c>
      <c r="F26" s="36" t="s">
        <v>111</v>
      </c>
      <c r="H26" s="36" t="s">
        <v>417</v>
      </c>
      <c r="I26" s="36" t="s">
        <v>418</v>
      </c>
      <c r="J26" s="36" t="s">
        <v>419</v>
      </c>
      <c r="L26" s="34" t="s">
        <v>273</v>
      </c>
      <c r="M26" s="34" t="s">
        <v>274</v>
      </c>
      <c r="N26" s="34" t="s">
        <v>275</v>
      </c>
      <c r="P26" s="44">
        <v>4.5</v>
      </c>
      <c r="Q26" s="44">
        <v>1.3666666666666667</v>
      </c>
      <c r="R26" s="6">
        <v>0.47576000000000002</v>
      </c>
      <c r="S26" s="6">
        <v>0.47786000000000001</v>
      </c>
      <c r="U26" s="34"/>
      <c r="V26" s="34"/>
      <c r="W26" s="34"/>
    </row>
    <row r="27" spans="1:23" x14ac:dyDescent="0.25">
      <c r="A27" s="36" t="s">
        <v>144</v>
      </c>
      <c r="B27" s="36">
        <v>3</v>
      </c>
      <c r="C27" s="36">
        <v>4</v>
      </c>
      <c r="D27" s="36" t="s">
        <v>8</v>
      </c>
      <c r="E27" s="36" t="s">
        <v>7</v>
      </c>
      <c r="F27" s="36" t="s">
        <v>3</v>
      </c>
      <c r="H27" s="36" t="s">
        <v>420</v>
      </c>
      <c r="I27" s="36" t="s">
        <v>421</v>
      </c>
      <c r="J27" s="36" t="s">
        <v>422</v>
      </c>
      <c r="L27" s="34" t="s">
        <v>276</v>
      </c>
      <c r="M27" s="34" t="s">
        <v>277</v>
      </c>
      <c r="N27" s="34" t="s">
        <v>278</v>
      </c>
      <c r="P27" s="44">
        <v>4.0999999999999996</v>
      </c>
      <c r="Q27" s="44">
        <v>1.1666666666666667</v>
      </c>
      <c r="R27" s="6">
        <v>0.62487999999999999</v>
      </c>
      <c r="S27" s="6">
        <v>0.37222</v>
      </c>
      <c r="U27" s="34"/>
      <c r="V27" s="34"/>
      <c r="W27" s="34"/>
    </row>
    <row r="28" spans="1:23" x14ac:dyDescent="0.25">
      <c r="A28" s="36" t="s">
        <v>145</v>
      </c>
      <c r="B28" s="36">
        <v>4</v>
      </c>
      <c r="C28" s="36">
        <v>4</v>
      </c>
      <c r="D28" s="36" t="s">
        <v>89</v>
      </c>
      <c r="E28" s="36" t="s">
        <v>50</v>
      </c>
      <c r="F28" s="36" t="s">
        <v>28</v>
      </c>
      <c r="H28" s="36" t="s">
        <v>423</v>
      </c>
      <c r="I28" s="36" t="s">
        <v>424</v>
      </c>
      <c r="J28" s="36" t="s">
        <v>425</v>
      </c>
      <c r="L28" s="34" t="s">
        <v>279</v>
      </c>
      <c r="M28" s="34" t="s">
        <v>280</v>
      </c>
      <c r="N28" s="34" t="s">
        <v>281</v>
      </c>
      <c r="P28" s="44">
        <v>4.0999999999999996</v>
      </c>
      <c r="Q28" s="44">
        <v>1.1666666666666667</v>
      </c>
      <c r="R28" s="6">
        <v>0.62487999999999999</v>
      </c>
      <c r="S28" s="6">
        <v>0.37222</v>
      </c>
      <c r="U28" s="34"/>
      <c r="V28" s="34"/>
      <c r="W28" s="34"/>
    </row>
    <row r="29" spans="1:23" x14ac:dyDescent="0.25">
      <c r="A29" s="36" t="s">
        <v>145</v>
      </c>
      <c r="B29" s="36">
        <v>4</v>
      </c>
      <c r="C29" s="36">
        <v>4</v>
      </c>
      <c r="D29" s="36" t="s">
        <v>98</v>
      </c>
      <c r="E29" s="36" t="s">
        <v>97</v>
      </c>
      <c r="F29" s="36" t="s">
        <v>109</v>
      </c>
      <c r="H29" s="36" t="s">
        <v>426</v>
      </c>
      <c r="I29" s="36" t="s">
        <v>427</v>
      </c>
      <c r="J29" s="36" t="s">
        <v>428</v>
      </c>
      <c r="L29" s="34" t="s">
        <v>282</v>
      </c>
      <c r="M29" s="34" t="s">
        <v>283</v>
      </c>
      <c r="N29" s="34" t="s">
        <v>284</v>
      </c>
      <c r="P29" s="44">
        <v>4.0999999999999996</v>
      </c>
      <c r="Q29" s="44">
        <v>1.1666666666666667</v>
      </c>
      <c r="R29" s="6">
        <v>0.62487999999999999</v>
      </c>
      <c r="S29" s="6">
        <v>0.37222</v>
      </c>
      <c r="U29" s="34"/>
      <c r="V29" s="34"/>
      <c r="W29" s="34"/>
    </row>
    <row r="30" spans="1:23" x14ac:dyDescent="0.25">
      <c r="A30" s="36" t="s">
        <v>145</v>
      </c>
      <c r="B30" s="36">
        <v>4</v>
      </c>
      <c r="C30" s="36">
        <v>4</v>
      </c>
      <c r="D30" s="36" t="s">
        <v>137</v>
      </c>
      <c r="E30" s="36" t="s">
        <v>120</v>
      </c>
      <c r="F30" s="36" t="s">
        <v>130</v>
      </c>
      <c r="H30" s="36" t="s">
        <v>429</v>
      </c>
      <c r="I30" s="36" t="s">
        <v>430</v>
      </c>
      <c r="J30" s="36" t="s">
        <v>431</v>
      </c>
      <c r="L30" s="34" t="s">
        <v>285</v>
      </c>
      <c r="M30" s="34" t="s">
        <v>286</v>
      </c>
      <c r="N30" s="34" t="s">
        <v>287</v>
      </c>
      <c r="P30" s="44">
        <v>4.0333333333333332</v>
      </c>
      <c r="Q30" s="44">
        <v>1.4333333333333333</v>
      </c>
      <c r="R30" s="6">
        <v>0.60982000000000003</v>
      </c>
      <c r="S30" s="6">
        <v>0.51654</v>
      </c>
      <c r="U30" s="34"/>
      <c r="V30" s="34"/>
      <c r="W30" s="34"/>
    </row>
    <row r="31" spans="1:23" x14ac:dyDescent="0.25">
      <c r="A31" s="36" t="s">
        <v>144</v>
      </c>
      <c r="B31" s="36">
        <v>3</v>
      </c>
      <c r="C31" s="36">
        <v>4</v>
      </c>
      <c r="D31" s="36" t="s">
        <v>85</v>
      </c>
      <c r="E31" s="36" t="s">
        <v>52</v>
      </c>
      <c r="F31" s="36" t="s">
        <v>55</v>
      </c>
      <c r="H31" s="36" t="s">
        <v>432</v>
      </c>
      <c r="I31" s="36" t="s">
        <v>433</v>
      </c>
      <c r="J31" s="36" t="s">
        <v>434</v>
      </c>
      <c r="L31" s="34" t="s">
        <v>288</v>
      </c>
      <c r="M31" s="34" t="s">
        <v>289</v>
      </c>
      <c r="N31" s="34" t="s">
        <v>290</v>
      </c>
      <c r="P31" s="44">
        <v>3.8</v>
      </c>
      <c r="Q31" s="44">
        <v>1.2</v>
      </c>
      <c r="R31" s="6">
        <v>0.69632000000000005</v>
      </c>
      <c r="S31" s="6">
        <v>0.53217000000000003</v>
      </c>
      <c r="U31" s="34"/>
      <c r="V31" s="34"/>
      <c r="W31" s="34"/>
    </row>
    <row r="32" spans="1:23" x14ac:dyDescent="0.25">
      <c r="A32" s="36" t="s">
        <v>145</v>
      </c>
      <c r="B32" s="36">
        <v>4</v>
      </c>
      <c r="C32" s="36">
        <v>4</v>
      </c>
      <c r="D32" s="36" t="s">
        <v>138</v>
      </c>
      <c r="E32" s="36" t="s">
        <v>118</v>
      </c>
      <c r="F32" s="36" t="s">
        <v>131</v>
      </c>
      <c r="H32" s="36" t="s">
        <v>435</v>
      </c>
      <c r="I32" s="36" t="s">
        <v>436</v>
      </c>
      <c r="J32" s="36" t="s">
        <v>437</v>
      </c>
      <c r="L32" s="34" t="s">
        <v>291</v>
      </c>
      <c r="M32" s="34" t="s">
        <v>292</v>
      </c>
      <c r="N32" s="34" t="s">
        <v>293</v>
      </c>
      <c r="P32" s="44">
        <v>3.8</v>
      </c>
      <c r="Q32" s="44">
        <v>1.6333333333333333</v>
      </c>
      <c r="R32" s="6">
        <v>0.69632000000000005</v>
      </c>
      <c r="S32" s="6">
        <v>0.41008</v>
      </c>
      <c r="U32" s="34"/>
      <c r="V32" s="34"/>
      <c r="W32" s="34"/>
    </row>
    <row r="33" spans="1:23" x14ac:dyDescent="0.25">
      <c r="A33" s="36" t="s">
        <v>144</v>
      </c>
      <c r="B33" s="36">
        <v>4</v>
      </c>
      <c r="C33" s="36">
        <v>5</v>
      </c>
      <c r="D33" s="36" t="s">
        <v>70</v>
      </c>
      <c r="E33" s="36" t="s">
        <v>71</v>
      </c>
      <c r="F33" s="36" t="s">
        <v>141</v>
      </c>
      <c r="H33" s="36" t="s">
        <v>438</v>
      </c>
      <c r="I33" s="36" t="s">
        <v>439</v>
      </c>
      <c r="J33" s="36" t="s">
        <v>440</v>
      </c>
      <c r="L33" s="34" t="s">
        <v>294</v>
      </c>
      <c r="M33" s="34" t="s">
        <v>295</v>
      </c>
      <c r="N33" s="34" t="s">
        <v>296</v>
      </c>
      <c r="P33" s="44">
        <v>3.5666666666666669</v>
      </c>
      <c r="Q33" s="44">
        <v>1.1333333333333333</v>
      </c>
      <c r="R33" s="6">
        <v>0.66157999999999995</v>
      </c>
      <c r="S33" s="6">
        <v>0.58091000000000004</v>
      </c>
      <c r="U33" s="34"/>
      <c r="V33" s="34"/>
      <c r="W33" s="34"/>
    </row>
    <row r="34" spans="1:23" x14ac:dyDescent="0.25">
      <c r="A34" s="36" t="s">
        <v>144</v>
      </c>
      <c r="B34" s="36">
        <v>4</v>
      </c>
      <c r="C34" s="36">
        <v>5</v>
      </c>
      <c r="D34" s="36" t="s">
        <v>103</v>
      </c>
      <c r="E34" s="36" t="s">
        <v>66</v>
      </c>
      <c r="F34" s="36" t="s">
        <v>57</v>
      </c>
      <c r="H34" s="36" t="s">
        <v>441</v>
      </c>
      <c r="I34" s="36" t="s">
        <v>442</v>
      </c>
      <c r="J34" s="36" t="s">
        <v>443</v>
      </c>
      <c r="L34" s="34" t="s">
        <v>297</v>
      </c>
      <c r="M34" s="34" t="s">
        <v>298</v>
      </c>
      <c r="N34" s="34" t="s">
        <v>299</v>
      </c>
      <c r="P34" s="44">
        <v>3.5666666666666669</v>
      </c>
      <c r="Q34" s="44">
        <v>1.3333333333333333</v>
      </c>
      <c r="R34" s="6">
        <v>0.66157999999999995</v>
      </c>
      <c r="S34" s="6">
        <v>0.49181999999999998</v>
      </c>
      <c r="U34" s="34"/>
      <c r="V34" s="34"/>
      <c r="W34" s="34"/>
    </row>
    <row r="35" spans="1:23" x14ac:dyDescent="0.25">
      <c r="A35" s="35" t="s">
        <v>144</v>
      </c>
      <c r="B35" s="35">
        <v>3</v>
      </c>
      <c r="C35" s="35">
        <v>4</v>
      </c>
      <c r="D35" s="35" t="s">
        <v>6</v>
      </c>
      <c r="E35" s="35" t="s">
        <v>4</v>
      </c>
      <c r="F35" s="35" t="s">
        <v>13</v>
      </c>
      <c r="G35" s="35"/>
      <c r="H35" s="36" t="s">
        <v>444</v>
      </c>
      <c r="I35" s="36" t="s">
        <v>445</v>
      </c>
      <c r="J35" s="36" t="s">
        <v>446</v>
      </c>
      <c r="L35" s="34" t="s">
        <v>300</v>
      </c>
      <c r="M35" s="34" t="s">
        <v>301</v>
      </c>
      <c r="N35" s="34" t="s">
        <v>302</v>
      </c>
      <c r="P35" s="44">
        <v>3.5666666666666669</v>
      </c>
      <c r="Q35" s="44">
        <v>1.2333333333333334</v>
      </c>
      <c r="R35" s="6">
        <v>0.66157999999999995</v>
      </c>
      <c r="S35" s="6">
        <v>0.52841000000000005</v>
      </c>
      <c r="U35" s="34"/>
      <c r="V35" s="34"/>
      <c r="W35" s="34"/>
    </row>
    <row r="36" spans="1:23" x14ac:dyDescent="0.25">
      <c r="A36" s="36" t="s">
        <v>144</v>
      </c>
      <c r="B36" s="36">
        <v>4</v>
      </c>
      <c r="C36" s="36">
        <v>5</v>
      </c>
      <c r="D36" s="36" t="s">
        <v>62</v>
      </c>
      <c r="E36" s="36" t="s">
        <v>47</v>
      </c>
      <c r="F36" s="36" t="s">
        <v>76</v>
      </c>
      <c r="H36" s="36" t="s">
        <v>447</v>
      </c>
      <c r="I36" s="36" t="s">
        <v>448</v>
      </c>
      <c r="J36" s="36" t="s">
        <v>449</v>
      </c>
      <c r="L36" s="34" t="s">
        <v>303</v>
      </c>
      <c r="M36" s="34" t="s">
        <v>304</v>
      </c>
      <c r="N36" s="34" t="s">
        <v>305</v>
      </c>
      <c r="P36" s="44">
        <v>3.5666666666666669</v>
      </c>
      <c r="Q36" s="44">
        <v>1.1333333333333333</v>
      </c>
      <c r="R36" s="6">
        <v>0.66157999999999995</v>
      </c>
      <c r="S36" s="6">
        <v>0.58091000000000004</v>
      </c>
      <c r="U36" s="34"/>
      <c r="V36" s="34"/>
      <c r="W36" s="34"/>
    </row>
    <row r="37" spans="1:23" x14ac:dyDescent="0.25">
      <c r="A37" s="36" t="s">
        <v>145</v>
      </c>
      <c r="B37" s="36">
        <v>4</v>
      </c>
      <c r="C37" s="36">
        <v>4</v>
      </c>
      <c r="D37" s="36" t="s">
        <v>140</v>
      </c>
      <c r="E37" s="36" t="s">
        <v>87</v>
      </c>
      <c r="F37" s="36" t="s">
        <v>82</v>
      </c>
      <c r="H37" s="36" t="s">
        <v>450</v>
      </c>
      <c r="I37" s="36" t="s">
        <v>451</v>
      </c>
      <c r="J37" s="36" t="s">
        <v>452</v>
      </c>
      <c r="L37" s="34" t="s">
        <v>306</v>
      </c>
      <c r="M37" s="34" t="s">
        <v>307</v>
      </c>
      <c r="N37" s="34" t="s">
        <v>308</v>
      </c>
      <c r="P37" s="44">
        <v>3.5333333333333332</v>
      </c>
      <c r="Q37" s="44">
        <v>1.1000000000000001</v>
      </c>
      <c r="R37" s="6">
        <v>0.46543000000000001</v>
      </c>
      <c r="S37" s="6">
        <v>0.51090000000000002</v>
      </c>
      <c r="U37" s="34"/>
      <c r="V37" s="34"/>
      <c r="W37" s="34"/>
    </row>
    <row r="38" spans="1:23" x14ac:dyDescent="0.25">
      <c r="A38" s="36" t="s">
        <v>145</v>
      </c>
      <c r="B38" s="36">
        <v>4</v>
      </c>
      <c r="C38" s="36">
        <v>4</v>
      </c>
      <c r="D38" s="36" t="s">
        <v>69</v>
      </c>
      <c r="E38" s="36" t="s">
        <v>60</v>
      </c>
      <c r="F38" s="36" t="s">
        <v>2</v>
      </c>
      <c r="H38" s="36" t="s">
        <v>453</v>
      </c>
      <c r="I38" s="36" t="s">
        <v>454</v>
      </c>
      <c r="J38" s="36" t="s">
        <v>455</v>
      </c>
      <c r="L38" s="34" t="s">
        <v>309</v>
      </c>
      <c r="M38" s="34" t="s">
        <v>310</v>
      </c>
      <c r="N38" s="34" t="s">
        <v>311</v>
      </c>
      <c r="P38" s="44">
        <v>3.5333333333333332</v>
      </c>
      <c r="Q38" s="44">
        <v>1.2666666666666666</v>
      </c>
      <c r="R38" s="6">
        <v>0.46543000000000001</v>
      </c>
      <c r="S38" s="6">
        <v>0.51424000000000003</v>
      </c>
      <c r="U38" s="34"/>
      <c r="V38" s="34"/>
      <c r="W38" s="34"/>
    </row>
    <row r="39" spans="1:23" x14ac:dyDescent="0.25">
      <c r="A39" s="36" t="s">
        <v>145</v>
      </c>
      <c r="B39" s="36">
        <v>4</v>
      </c>
      <c r="C39" s="36">
        <v>4</v>
      </c>
      <c r="D39" s="36" t="s">
        <v>110</v>
      </c>
      <c r="E39" s="36" t="s">
        <v>72</v>
      </c>
      <c r="F39" s="36" t="s">
        <v>30</v>
      </c>
      <c r="H39" s="36" t="s">
        <v>456</v>
      </c>
      <c r="I39" s="36" t="s">
        <v>457</v>
      </c>
      <c r="J39" s="36" t="s">
        <v>458</v>
      </c>
      <c r="L39" s="34" t="s">
        <v>312</v>
      </c>
      <c r="M39" s="34" t="s">
        <v>313</v>
      </c>
      <c r="N39" s="34" t="s">
        <v>314</v>
      </c>
      <c r="P39" s="44">
        <v>3.4</v>
      </c>
      <c r="Q39" s="44">
        <v>1.1666666666666667</v>
      </c>
      <c r="R39" s="6">
        <v>0.62126999999999999</v>
      </c>
      <c r="S39" s="6">
        <v>0.53452</v>
      </c>
      <c r="U39" s="34"/>
      <c r="V39" s="34"/>
      <c r="W39" s="34"/>
    </row>
    <row r="40" spans="1:23" x14ac:dyDescent="0.25">
      <c r="A40" s="36" t="s">
        <v>144</v>
      </c>
      <c r="B40" s="36">
        <v>3</v>
      </c>
      <c r="C40" s="36">
        <v>4</v>
      </c>
      <c r="D40" s="36" t="s">
        <v>49</v>
      </c>
      <c r="E40" s="36" t="s">
        <v>73</v>
      </c>
      <c r="F40" s="36" t="s">
        <v>77</v>
      </c>
      <c r="H40" s="36" t="s">
        <v>459</v>
      </c>
      <c r="I40" s="36" t="s">
        <v>460</v>
      </c>
      <c r="J40" s="36" t="s">
        <v>461</v>
      </c>
      <c r="L40" s="34" t="s">
        <v>315</v>
      </c>
      <c r="M40" s="34" t="s">
        <v>316</v>
      </c>
      <c r="N40" s="34" t="s">
        <v>317</v>
      </c>
      <c r="P40" s="44">
        <v>3.3666666666666667</v>
      </c>
      <c r="Q40" s="44">
        <v>1.0666666666666667</v>
      </c>
      <c r="R40" s="6">
        <v>0.59892000000000001</v>
      </c>
      <c r="S40" s="6">
        <v>0.52673999999999999</v>
      </c>
      <c r="U40" s="34"/>
      <c r="V40" s="34"/>
      <c r="W40" s="34"/>
    </row>
    <row r="41" spans="1:23" x14ac:dyDescent="0.25">
      <c r="A41" s="36" t="s">
        <v>145</v>
      </c>
      <c r="B41" s="36">
        <v>4</v>
      </c>
      <c r="C41" s="36">
        <v>4</v>
      </c>
      <c r="D41" s="36" t="s">
        <v>63</v>
      </c>
      <c r="E41" s="36" t="s">
        <v>19</v>
      </c>
      <c r="F41" s="36" t="s">
        <v>26</v>
      </c>
      <c r="H41" s="36" t="s">
        <v>462</v>
      </c>
      <c r="I41" s="36" t="s">
        <v>463</v>
      </c>
      <c r="J41" s="36" t="s">
        <v>464</v>
      </c>
      <c r="L41" s="34" t="s">
        <v>318</v>
      </c>
      <c r="M41" s="34" t="s">
        <v>319</v>
      </c>
      <c r="N41" s="34" t="s">
        <v>320</v>
      </c>
      <c r="P41" s="44">
        <v>3.3666666666666667</v>
      </c>
      <c r="Q41" s="44">
        <v>1.1000000000000001</v>
      </c>
      <c r="R41" s="6">
        <v>0.59892000000000001</v>
      </c>
      <c r="S41" s="6">
        <v>0.60109999999999997</v>
      </c>
      <c r="U41" s="34"/>
      <c r="V41" s="34"/>
      <c r="W41" s="34"/>
    </row>
    <row r="42" spans="1:23" x14ac:dyDescent="0.25">
      <c r="A42" s="35" t="s">
        <v>144</v>
      </c>
      <c r="B42" s="35">
        <v>3</v>
      </c>
      <c r="C42" s="35">
        <v>4</v>
      </c>
      <c r="D42" s="35" t="s">
        <v>34</v>
      </c>
      <c r="E42" s="35" t="s">
        <v>94</v>
      </c>
      <c r="F42" s="35" t="s">
        <v>56</v>
      </c>
      <c r="G42" s="35"/>
      <c r="H42" s="36" t="s">
        <v>465</v>
      </c>
      <c r="I42" s="36" t="s">
        <v>466</v>
      </c>
      <c r="J42" s="36" t="s">
        <v>467</v>
      </c>
      <c r="L42" s="34" t="s">
        <v>321</v>
      </c>
      <c r="M42" s="34" t="s">
        <v>322</v>
      </c>
      <c r="N42" s="34" t="s">
        <v>323</v>
      </c>
      <c r="P42" s="44">
        <v>3.2580645161290325</v>
      </c>
      <c r="Q42" s="44">
        <v>1.1000000000000001</v>
      </c>
      <c r="R42" s="6">
        <v>0.56415000000000004</v>
      </c>
      <c r="S42" s="6">
        <v>0.42180000000000001</v>
      </c>
      <c r="U42" s="34"/>
      <c r="V42" s="34"/>
      <c r="W42" s="34"/>
    </row>
    <row r="43" spans="1:23" x14ac:dyDescent="0.25">
      <c r="A43" s="35" t="s">
        <v>144</v>
      </c>
      <c r="B43" s="35">
        <v>3</v>
      </c>
      <c r="C43" s="35">
        <v>4</v>
      </c>
      <c r="D43" s="35" t="s">
        <v>68</v>
      </c>
      <c r="E43" s="35" t="s">
        <v>31</v>
      </c>
      <c r="F43" s="35" t="s">
        <v>53</v>
      </c>
      <c r="G43" s="35"/>
      <c r="H43" s="36" t="s">
        <v>468</v>
      </c>
      <c r="I43" s="36" t="s">
        <v>469</v>
      </c>
      <c r="J43" s="36" t="s">
        <v>470</v>
      </c>
      <c r="L43" s="34" t="s">
        <v>324</v>
      </c>
      <c r="M43" s="34" t="s">
        <v>325</v>
      </c>
      <c r="N43" s="34" t="s">
        <v>326</v>
      </c>
      <c r="P43" s="44">
        <v>3.2580645161290325</v>
      </c>
      <c r="Q43" s="44">
        <v>1.3666666666666667</v>
      </c>
      <c r="R43" s="6">
        <v>0.56415000000000004</v>
      </c>
      <c r="S43" s="6">
        <v>0.46775</v>
      </c>
      <c r="U43" s="34"/>
      <c r="V43" s="34"/>
      <c r="W43" s="34"/>
    </row>
    <row r="44" spans="1:23" x14ac:dyDescent="0.25">
      <c r="A44" s="35" t="s">
        <v>145</v>
      </c>
      <c r="B44" s="35">
        <v>4</v>
      </c>
      <c r="C44" s="35">
        <v>4</v>
      </c>
      <c r="D44" s="35" t="s">
        <v>67</v>
      </c>
      <c r="E44" s="35" t="s">
        <v>12</v>
      </c>
      <c r="F44" s="35" t="s">
        <v>61</v>
      </c>
      <c r="G44" s="35"/>
      <c r="H44" s="36" t="s">
        <v>471</v>
      </c>
      <c r="I44" s="36" t="s">
        <v>472</v>
      </c>
      <c r="J44" s="36" t="s">
        <v>473</v>
      </c>
      <c r="L44" s="34" t="s">
        <v>327</v>
      </c>
      <c r="M44" s="34" t="s">
        <v>328</v>
      </c>
      <c r="N44" s="34" t="s">
        <v>329</v>
      </c>
      <c r="P44" s="44">
        <v>3.2580645161290325</v>
      </c>
      <c r="Q44" s="44">
        <v>1.0666666666666667</v>
      </c>
      <c r="R44" s="6">
        <v>0.56415000000000004</v>
      </c>
      <c r="S44" s="6">
        <v>0.51129999999999998</v>
      </c>
      <c r="U44" s="34"/>
      <c r="V44" s="34"/>
      <c r="W44" s="34"/>
    </row>
    <row r="45" spans="1:23" x14ac:dyDescent="0.25">
      <c r="A45" s="35" t="s">
        <v>145</v>
      </c>
      <c r="B45" s="35">
        <v>4</v>
      </c>
      <c r="C45" s="35">
        <v>4</v>
      </c>
      <c r="D45" s="35" t="s">
        <v>129</v>
      </c>
      <c r="E45" s="35" t="s">
        <v>126</v>
      </c>
      <c r="F45" s="35" t="s">
        <v>136</v>
      </c>
      <c r="G45" s="35"/>
      <c r="H45" s="36" t="s">
        <v>474</v>
      </c>
      <c r="I45" s="36" t="s">
        <v>475</v>
      </c>
      <c r="J45" s="36" t="s">
        <v>476</v>
      </c>
      <c r="L45" s="34" t="s">
        <v>330</v>
      </c>
      <c r="M45" s="34" t="s">
        <v>331</v>
      </c>
      <c r="N45" s="34" t="s">
        <v>332</v>
      </c>
      <c r="P45" s="44">
        <v>3.1333333333333333</v>
      </c>
      <c r="Q45" s="44">
        <v>1.3333333333333333</v>
      </c>
      <c r="R45" s="6">
        <v>0.62334000000000001</v>
      </c>
      <c r="S45" s="6">
        <v>0.49181999999999998</v>
      </c>
      <c r="U45" s="34"/>
      <c r="V45" s="34"/>
      <c r="W45" s="34"/>
    </row>
    <row r="46" spans="1:23" x14ac:dyDescent="0.25">
      <c r="A46" s="35" t="s">
        <v>144</v>
      </c>
      <c r="B46" s="35">
        <v>4</v>
      </c>
      <c r="C46" s="35">
        <v>5</v>
      </c>
      <c r="D46" s="35" t="s">
        <v>32</v>
      </c>
      <c r="E46" s="35" t="s">
        <v>11</v>
      </c>
      <c r="F46" s="35" t="s">
        <v>20</v>
      </c>
      <c r="G46" s="35"/>
      <c r="H46" s="36" t="s">
        <v>477</v>
      </c>
      <c r="I46" s="36" t="s">
        <v>478</v>
      </c>
      <c r="J46" s="36" t="s">
        <v>479</v>
      </c>
      <c r="L46" s="34" t="s">
        <v>333</v>
      </c>
      <c r="M46" s="34" t="s">
        <v>334</v>
      </c>
      <c r="N46" s="34" t="s">
        <v>335</v>
      </c>
      <c r="P46" s="44">
        <v>3.1333333333333333</v>
      </c>
      <c r="Q46" s="44">
        <v>1.5333333333333334</v>
      </c>
      <c r="R46" s="6">
        <v>0.62334000000000001</v>
      </c>
      <c r="S46" s="6">
        <v>0.52768000000000004</v>
      </c>
      <c r="U46" s="34"/>
      <c r="V46" s="34"/>
      <c r="W46" s="34"/>
    </row>
    <row r="47" spans="1:23" x14ac:dyDescent="0.25">
      <c r="A47" s="36" t="s">
        <v>144</v>
      </c>
      <c r="B47" s="36">
        <v>4</v>
      </c>
      <c r="C47" s="36">
        <v>5</v>
      </c>
      <c r="D47" s="36" t="s">
        <v>78</v>
      </c>
      <c r="E47" s="36" t="s">
        <v>122</v>
      </c>
      <c r="F47" s="36" t="s">
        <v>88</v>
      </c>
      <c r="H47" s="36" t="s">
        <v>480</v>
      </c>
      <c r="I47" s="36" t="s">
        <v>481</v>
      </c>
      <c r="J47" s="36" t="s">
        <v>482</v>
      </c>
      <c r="L47" s="34" t="s">
        <v>336</v>
      </c>
      <c r="M47" s="34" t="s">
        <v>337</v>
      </c>
      <c r="N47" s="34" t="s">
        <v>338</v>
      </c>
      <c r="P47" s="44">
        <v>3.1333333333333333</v>
      </c>
      <c r="Q47" s="44">
        <v>1.4</v>
      </c>
      <c r="R47" s="6">
        <v>0.62334000000000001</v>
      </c>
      <c r="S47" s="6">
        <v>0.55867</v>
      </c>
      <c r="U47" s="34"/>
      <c r="V47" s="34"/>
      <c r="W47" s="34"/>
    </row>
    <row r="48" spans="1:23" x14ac:dyDescent="0.25">
      <c r="A48" s="35" t="s">
        <v>145</v>
      </c>
      <c r="B48" s="35">
        <v>5</v>
      </c>
      <c r="C48" s="35">
        <v>5</v>
      </c>
      <c r="D48" s="35" t="s">
        <v>83</v>
      </c>
      <c r="E48" s="35" t="s">
        <v>135</v>
      </c>
      <c r="F48" s="35" t="s">
        <v>143</v>
      </c>
      <c r="G48" s="35"/>
      <c r="H48" s="36" t="s">
        <v>483</v>
      </c>
      <c r="I48" s="36" t="s">
        <v>484</v>
      </c>
      <c r="J48" s="36" t="s">
        <v>485</v>
      </c>
      <c r="L48" s="34" t="s">
        <v>339</v>
      </c>
      <c r="M48" s="34" t="s">
        <v>340</v>
      </c>
      <c r="N48" s="34" t="s">
        <v>341</v>
      </c>
      <c r="P48" s="44">
        <v>2.8</v>
      </c>
      <c r="Q48" s="44">
        <v>1.0666666666666667</v>
      </c>
      <c r="R48" s="6">
        <v>0.53571999999999997</v>
      </c>
      <c r="S48" s="6">
        <v>0.51129999999999998</v>
      </c>
      <c r="U48" s="34"/>
      <c r="V48" s="34"/>
      <c r="W48" s="34"/>
    </row>
    <row r="49" spans="1:23" x14ac:dyDescent="0.25">
      <c r="A49" s="35" t="s">
        <v>144</v>
      </c>
      <c r="B49" s="35">
        <v>3</v>
      </c>
      <c r="C49" s="35">
        <v>4</v>
      </c>
      <c r="D49" s="35" t="s">
        <v>121</v>
      </c>
      <c r="E49" s="35" t="s">
        <v>106</v>
      </c>
      <c r="F49" s="35" t="s">
        <v>96</v>
      </c>
      <c r="G49" s="35"/>
      <c r="H49" s="36" t="s">
        <v>486</v>
      </c>
      <c r="I49" s="36" t="s">
        <v>487</v>
      </c>
      <c r="J49" s="36" t="s">
        <v>488</v>
      </c>
      <c r="L49" s="34" t="s">
        <v>342</v>
      </c>
      <c r="M49" s="34" t="s">
        <v>343</v>
      </c>
      <c r="N49" s="34" t="s">
        <v>344</v>
      </c>
      <c r="P49" s="44">
        <v>2.8</v>
      </c>
      <c r="Q49" s="44">
        <v>1.1000000000000001</v>
      </c>
      <c r="R49" s="6">
        <v>0.53571999999999997</v>
      </c>
      <c r="S49" s="6">
        <v>0.42180000000000001</v>
      </c>
      <c r="U49" s="34"/>
      <c r="V49" s="34"/>
      <c r="W49" s="34"/>
    </row>
    <row r="50" spans="1:23" x14ac:dyDescent="0.25">
      <c r="A50" s="35" t="s">
        <v>144</v>
      </c>
      <c r="B50" s="35">
        <v>3</v>
      </c>
      <c r="C50" s="35">
        <v>4</v>
      </c>
      <c r="D50" s="35" t="s">
        <v>107</v>
      </c>
      <c r="E50" s="35" t="s">
        <v>81</v>
      </c>
      <c r="F50" s="35" t="s">
        <v>112</v>
      </c>
      <c r="G50" s="35"/>
      <c r="H50" s="36" t="s">
        <v>489</v>
      </c>
      <c r="I50" s="36" t="s">
        <v>490</v>
      </c>
      <c r="J50" s="36" t="s">
        <v>491</v>
      </c>
      <c r="L50" s="34" t="s">
        <v>345</v>
      </c>
      <c r="M50" s="34" t="s">
        <v>346</v>
      </c>
      <c r="N50" s="34" t="s">
        <v>347</v>
      </c>
      <c r="P50" s="44">
        <v>2.8</v>
      </c>
      <c r="Q50" s="44">
        <v>1.1666666666666667</v>
      </c>
      <c r="R50" s="6">
        <v>0.53571999999999997</v>
      </c>
      <c r="S50" s="6">
        <v>0.37222</v>
      </c>
      <c r="U50" s="34"/>
      <c r="V50" s="34"/>
      <c r="W50" s="34"/>
    </row>
    <row r="52" spans="1:23" x14ac:dyDescent="0.25">
      <c r="O52" s="25" t="s">
        <v>175</v>
      </c>
      <c r="P52" s="8">
        <f>MIN(P3:P50)</f>
        <v>2.8</v>
      </c>
      <c r="Q52" s="8">
        <f t="shared" ref="Q52:S52" si="0">MIN(Q3:Q50)</f>
        <v>1.0666666666666667</v>
      </c>
      <c r="R52" s="8">
        <f t="shared" si="0"/>
        <v>0.46543000000000001</v>
      </c>
      <c r="S52" s="8">
        <f t="shared" si="0"/>
        <v>0.37222</v>
      </c>
    </row>
    <row r="53" spans="1:23" x14ac:dyDescent="0.25">
      <c r="O53" s="25" t="s">
        <v>176</v>
      </c>
      <c r="P53" s="8">
        <f>MAX(P3:P50)</f>
        <v>5.5333333333333332</v>
      </c>
      <c r="Q53" s="8">
        <f t="shared" ref="Q53:S53" si="1">MAX(Q3:Q50)</f>
        <v>1.7</v>
      </c>
      <c r="R53" s="8">
        <f t="shared" si="1"/>
        <v>0.86536000000000002</v>
      </c>
      <c r="S53" s="8">
        <f t="shared" si="1"/>
        <v>0.60109999999999997</v>
      </c>
    </row>
    <row r="54" spans="1:23" x14ac:dyDescent="0.25">
      <c r="O54" s="25" t="s">
        <v>177</v>
      </c>
      <c r="P54" s="8">
        <f>AVERAGE(P3:P50)</f>
        <v>4.1869847670250904</v>
      </c>
      <c r="Q54" s="8">
        <f t="shared" ref="Q54:S54" si="2">AVERAGE(Q3:Q50)</f>
        <v>1.2220430107526885</v>
      </c>
      <c r="R54" s="8">
        <f t="shared" si="2"/>
        <v>0.59153562500000001</v>
      </c>
      <c r="S54" s="8">
        <f t="shared" si="2"/>
        <v>0.49971916666666671</v>
      </c>
    </row>
    <row r="55" spans="1:23" x14ac:dyDescent="0.25">
      <c r="O55" s="25" t="s">
        <v>496</v>
      </c>
      <c r="P55" s="8">
        <f>STDEV(P3:P50)</f>
        <v>0.81847855594646823</v>
      </c>
      <c r="Q55" s="8">
        <f t="shared" ref="Q55:S55" si="3">STDEV(Q3:Q50)</f>
        <v>0.15112217784074708</v>
      </c>
      <c r="R55" s="8">
        <f t="shared" si="3"/>
        <v>9.4860159448869386E-2</v>
      </c>
      <c r="S55" s="8">
        <f t="shared" si="3"/>
        <v>6.5637557030313987E-2</v>
      </c>
    </row>
    <row r="56" spans="1:23" x14ac:dyDescent="0.25">
      <c r="O56" s="25" t="s">
        <v>497</v>
      </c>
      <c r="P56" s="8">
        <f>P55/SQRT(COUNTA(P3:P50))</f>
        <v>0.1181372036504074</v>
      </c>
      <c r="Q56" s="8">
        <f t="shared" ref="Q56:S56" si="4">Q55/SQRT(COUNTA(Q3:Q50))</f>
        <v>2.1812607514219456E-2</v>
      </c>
      <c r="R56" s="8">
        <f t="shared" si="4"/>
        <v>1.369188464829389E-2</v>
      </c>
      <c r="S56" s="8">
        <f t="shared" si="4"/>
        <v>9.4739653051002983E-3</v>
      </c>
    </row>
    <row r="59" spans="1:23" x14ac:dyDescent="0.25">
      <c r="D59" s="38"/>
      <c r="E59" s="38"/>
      <c r="F59" s="38"/>
      <c r="G59" s="38"/>
    </row>
    <row r="95" spans="1:2" x14ac:dyDescent="0.25">
      <c r="A95" s="39"/>
      <c r="B95" s="39"/>
    </row>
  </sheetData>
  <mergeCells count="6">
    <mergeCell ref="R1:S1"/>
    <mergeCell ref="D1:F1"/>
    <mergeCell ref="H1:J1"/>
    <mergeCell ref="A1:C1"/>
    <mergeCell ref="L1:N1"/>
    <mergeCell ref="P1:Q1"/>
  </mergeCells>
  <conditionalFormatting sqref="D43:G43">
    <cfRule type="duplicateValues" dxfId="4" priority="1"/>
  </conditionalFormatting>
  <conditionalFormatting sqref="D43:G43">
    <cfRule type="duplicateValues" dxfId="3" priority="2"/>
  </conditionalFormatting>
  <conditionalFormatting sqref="D3:G50">
    <cfRule type="duplicateValues" dxfId="2" priority="3"/>
  </conditionalFormatting>
  <conditionalFormatting sqref="D3:G30">
    <cfRule type="duplicateValues" dxfId="1" priority="4"/>
  </conditionalFormatting>
  <conditionalFormatting sqref="D3:G3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A7" sqref="A7"/>
    </sheetView>
  </sheetViews>
  <sheetFormatPr defaultRowHeight="15" x14ac:dyDescent="0.25"/>
  <cols>
    <col min="1" max="1" width="79.85546875" customWidth="1"/>
    <col min="2" max="2" width="21.5703125" customWidth="1"/>
    <col min="5" max="5" width="31.140625" style="3" customWidth="1"/>
    <col min="6" max="6" width="11.5703125" style="3" customWidth="1"/>
    <col min="7" max="8" width="9.28515625" style="3" bestFit="1" customWidth="1"/>
    <col min="9" max="9" width="9.5703125" style="3" bestFit="1" customWidth="1"/>
    <col min="10" max="15" width="9.140625" style="3"/>
  </cols>
  <sheetData>
    <row r="1" spans="1:13" ht="28.5" x14ac:dyDescent="0.45">
      <c r="A1" s="27" t="s">
        <v>180</v>
      </c>
      <c r="E1" s="28"/>
      <c r="H1" s="16"/>
      <c r="I1" s="16"/>
      <c r="J1" s="28"/>
    </row>
    <row r="2" spans="1:13" x14ac:dyDescent="0.25">
      <c r="A2" s="25"/>
      <c r="E2" s="28"/>
      <c r="H2" s="16"/>
      <c r="I2" s="15"/>
      <c r="M2" s="15"/>
    </row>
    <row r="3" spans="1:13" x14ac:dyDescent="0.25">
      <c r="A3" s="25" t="s">
        <v>183</v>
      </c>
      <c r="H3" s="15"/>
      <c r="I3" s="15"/>
      <c r="M3" s="15"/>
    </row>
    <row r="4" spans="1:13" x14ac:dyDescent="0.25">
      <c r="A4" s="26" t="s">
        <v>181</v>
      </c>
      <c r="B4" t="s">
        <v>185</v>
      </c>
      <c r="E4" s="29"/>
      <c r="H4" s="15"/>
      <c r="I4" s="15"/>
      <c r="J4" s="29"/>
      <c r="M4" s="15"/>
    </row>
    <row r="5" spans="1:13" x14ac:dyDescent="0.25">
      <c r="A5" s="26" t="s">
        <v>182</v>
      </c>
      <c r="B5" t="s">
        <v>186</v>
      </c>
      <c r="E5" s="30"/>
      <c r="F5" s="30"/>
      <c r="G5" s="30"/>
      <c r="H5" s="15"/>
      <c r="J5" s="30"/>
      <c r="K5" s="30"/>
      <c r="L5" s="30"/>
      <c r="M5" s="15"/>
    </row>
    <row r="6" spans="1:13" x14ac:dyDescent="0.25">
      <c r="A6" t="s">
        <v>178</v>
      </c>
      <c r="B6" t="s">
        <v>187</v>
      </c>
      <c r="E6" s="4"/>
      <c r="F6" s="4"/>
      <c r="G6" s="4"/>
      <c r="J6" s="4"/>
      <c r="K6" s="4"/>
      <c r="L6" s="4"/>
      <c r="M6" s="15"/>
    </row>
    <row r="7" spans="1:13" x14ac:dyDescent="0.25">
      <c r="A7" t="s">
        <v>179</v>
      </c>
      <c r="B7" t="s">
        <v>188</v>
      </c>
      <c r="E7" s="4"/>
      <c r="F7" s="4"/>
      <c r="G7" s="4"/>
      <c r="I7" s="15"/>
      <c r="J7" s="4"/>
      <c r="K7" s="4"/>
      <c r="L7" s="4"/>
      <c r="M7" s="15"/>
    </row>
    <row r="8" spans="1:13" x14ac:dyDescent="0.25">
      <c r="E8" s="4"/>
      <c r="F8" s="4"/>
      <c r="G8" s="4"/>
      <c r="H8" s="17"/>
      <c r="J8" s="4"/>
      <c r="K8" s="4"/>
      <c r="L8" s="4"/>
      <c r="M8" s="15"/>
    </row>
    <row r="9" spans="1:13" x14ac:dyDescent="0.25">
      <c r="A9" s="25" t="s">
        <v>184</v>
      </c>
      <c r="E9" s="4"/>
      <c r="F9" s="4"/>
      <c r="G9" s="4"/>
      <c r="J9" s="4"/>
      <c r="K9" s="4"/>
      <c r="L9" s="4"/>
      <c r="M9" s="15"/>
    </row>
    <row r="10" spans="1:13" x14ac:dyDescent="0.25">
      <c r="A10" t="s">
        <v>190</v>
      </c>
      <c r="B10" t="s">
        <v>189</v>
      </c>
      <c r="E10" s="4"/>
      <c r="F10" s="4"/>
      <c r="G10" s="4"/>
      <c r="J10" s="4"/>
      <c r="K10" s="4"/>
      <c r="L10" s="4"/>
      <c r="M10" s="15"/>
    </row>
    <row r="11" spans="1:13" x14ac:dyDescent="0.25">
      <c r="E11" s="4"/>
      <c r="F11" s="4"/>
      <c r="G11" s="4"/>
      <c r="J11" s="4"/>
      <c r="K11" s="4"/>
      <c r="L11" s="4"/>
      <c r="M11" s="15"/>
    </row>
    <row r="12" spans="1:13" x14ac:dyDescent="0.25">
      <c r="E12" s="4"/>
      <c r="F12" s="4"/>
      <c r="G12" s="4"/>
      <c r="J12" s="4"/>
      <c r="K12" s="5"/>
      <c r="L12" s="4"/>
      <c r="M12" s="15"/>
    </row>
    <row r="13" spans="1:13" x14ac:dyDescent="0.25">
      <c r="E13" s="4"/>
      <c r="F13" s="5"/>
      <c r="G13" s="4"/>
      <c r="J13" s="4"/>
      <c r="K13" s="5"/>
      <c r="L13" s="4"/>
      <c r="M13" s="15"/>
    </row>
    <row r="14" spans="1:13" x14ac:dyDescent="0.25">
      <c r="E14" s="4"/>
      <c r="F14" s="5"/>
      <c r="G14" s="4"/>
      <c r="J14" s="4"/>
      <c r="K14" s="5"/>
      <c r="L14" s="4"/>
      <c r="M14" s="15"/>
    </row>
    <row r="15" spans="1:13" x14ac:dyDescent="0.25">
      <c r="E15" s="4"/>
      <c r="F15" s="5"/>
      <c r="G15" s="4"/>
      <c r="J15" s="4"/>
      <c r="K15" s="5"/>
      <c r="L15" s="4"/>
      <c r="M15" s="15"/>
    </row>
    <row r="16" spans="1:13" x14ac:dyDescent="0.25">
      <c r="E16" s="4"/>
      <c r="F16" s="5"/>
      <c r="G16" s="4"/>
      <c r="J16" s="4"/>
      <c r="K16" s="5"/>
      <c r="L16" s="4"/>
      <c r="M16" s="15"/>
    </row>
    <row r="17" spans="5:13" x14ac:dyDescent="0.25">
      <c r="E17" s="15"/>
      <c r="F17" s="5"/>
      <c r="G17" s="4"/>
      <c r="M17" s="15"/>
    </row>
    <row r="18" spans="5:13" x14ac:dyDescent="0.25">
      <c r="E18" s="15"/>
      <c r="M18" s="15"/>
    </row>
    <row r="19" spans="5:13" x14ac:dyDescent="0.25">
      <c r="E19" s="28"/>
      <c r="M19" s="15"/>
    </row>
    <row r="20" spans="5:13" x14ac:dyDescent="0.25">
      <c r="E20" s="15"/>
      <c r="M20" s="15"/>
    </row>
    <row r="21" spans="5:13" x14ac:dyDescent="0.25">
      <c r="M21" s="15"/>
    </row>
    <row r="22" spans="5:13" x14ac:dyDescent="0.25">
      <c r="E22" s="29"/>
      <c r="M22" s="15"/>
    </row>
    <row r="23" spans="5:13" x14ac:dyDescent="0.25">
      <c r="M23" s="15"/>
    </row>
    <row r="24" spans="5:13" x14ac:dyDescent="0.25">
      <c r="E24" s="30"/>
      <c r="F24" s="30"/>
      <c r="G24" s="30"/>
      <c r="H24" s="30"/>
      <c r="I24" s="30"/>
      <c r="M24" s="15"/>
    </row>
    <row r="25" spans="5:13" x14ac:dyDescent="0.25">
      <c r="E25" s="4"/>
      <c r="F25" s="4"/>
      <c r="G25" s="4"/>
      <c r="H25" s="4"/>
      <c r="I25" s="4"/>
      <c r="M25" s="15"/>
    </row>
    <row r="26" spans="5:13" x14ac:dyDescent="0.25">
      <c r="E26" s="4"/>
      <c r="F26" s="4"/>
      <c r="G26" s="4"/>
      <c r="H26" s="4"/>
      <c r="I26" s="4"/>
      <c r="M26" s="15"/>
    </row>
    <row r="27" spans="5:13" x14ac:dyDescent="0.25">
      <c r="E27" s="4"/>
      <c r="F27" s="4"/>
      <c r="G27" s="4"/>
      <c r="H27" s="4"/>
      <c r="I27" s="4"/>
      <c r="M27" s="15"/>
    </row>
    <row r="28" spans="5:13" x14ac:dyDescent="0.25">
      <c r="M28" s="15"/>
    </row>
    <row r="29" spans="5:13" x14ac:dyDescent="0.25">
      <c r="M29" s="15"/>
    </row>
    <row r="30" spans="5:13" x14ac:dyDescent="0.25">
      <c r="M30" s="15"/>
    </row>
    <row r="31" spans="5:13" x14ac:dyDescent="0.25">
      <c r="E31" s="30"/>
      <c r="F31" s="30"/>
      <c r="G31" s="30"/>
      <c r="H31" s="30"/>
      <c r="I31" s="30"/>
      <c r="J31" s="30"/>
      <c r="K31" s="30"/>
      <c r="M31" s="15"/>
    </row>
    <row r="32" spans="5:13" x14ac:dyDescent="0.25">
      <c r="E32" s="4"/>
      <c r="F32" s="4"/>
      <c r="G32" s="4"/>
      <c r="H32" s="4"/>
      <c r="I32" s="4"/>
      <c r="J32" s="4"/>
      <c r="K32" s="4"/>
      <c r="M32" s="15"/>
    </row>
    <row r="33" spans="5:13" x14ac:dyDescent="0.25">
      <c r="E33" s="4"/>
      <c r="F33" s="4"/>
      <c r="G33" s="4"/>
      <c r="H33" s="4"/>
      <c r="I33" s="4"/>
      <c r="J33" s="4"/>
      <c r="K33" s="4"/>
      <c r="M33" s="15"/>
    </row>
    <row r="34" spans="5:13" x14ac:dyDescent="0.25">
      <c r="E34" s="4"/>
      <c r="F34" s="4"/>
      <c r="G34" s="4"/>
      <c r="H34" s="4"/>
      <c r="I34" s="4"/>
      <c r="J34" s="4"/>
      <c r="K34" s="4"/>
      <c r="M34" s="15"/>
    </row>
    <row r="35" spans="5:13" x14ac:dyDescent="0.25">
      <c r="E35" s="4"/>
      <c r="F35" s="4"/>
      <c r="G35" s="4"/>
      <c r="H35" s="4"/>
      <c r="I35" s="4"/>
      <c r="J35" s="4"/>
      <c r="K35" s="4"/>
      <c r="M35" s="15"/>
    </row>
    <row r="36" spans="5:13" x14ac:dyDescent="0.25">
      <c r="E36" s="15"/>
      <c r="M36" s="15"/>
    </row>
    <row r="37" spans="5:13" x14ac:dyDescent="0.25">
      <c r="E37" s="31"/>
      <c r="F37" s="32"/>
      <c r="M37" s="15"/>
    </row>
    <row r="38" spans="5:13" x14ac:dyDescent="0.25">
      <c r="E38" s="15"/>
      <c r="F38" s="33"/>
      <c r="M38" s="15"/>
    </row>
    <row r="39" spans="5:13" x14ac:dyDescent="0.25">
      <c r="E39" s="15"/>
      <c r="F39" s="33"/>
      <c r="M39" s="15"/>
    </row>
    <row r="40" spans="5:13" x14ac:dyDescent="0.25">
      <c r="E40" s="15"/>
      <c r="F40" s="33"/>
      <c r="M40" s="15"/>
    </row>
    <row r="41" spans="5:13" x14ac:dyDescent="0.25">
      <c r="E41" s="15"/>
      <c r="M41" s="15"/>
    </row>
    <row r="42" spans="5:13" x14ac:dyDescent="0.25">
      <c r="E42" s="15"/>
      <c r="M42" s="15"/>
    </row>
    <row r="43" spans="5:13" x14ac:dyDescent="0.25">
      <c r="E43" s="15"/>
      <c r="M43" s="15"/>
    </row>
    <row r="44" spans="5:13" x14ac:dyDescent="0.25">
      <c r="E44" s="15"/>
      <c r="M44" s="15"/>
    </row>
    <row r="45" spans="5:13" x14ac:dyDescent="0.25">
      <c r="E45" s="15"/>
      <c r="M45" s="15"/>
    </row>
    <row r="46" spans="5:13" x14ac:dyDescent="0.25">
      <c r="E46" s="15"/>
      <c r="M46" s="15"/>
    </row>
    <row r="47" spans="5:13" x14ac:dyDescent="0.25">
      <c r="E47" s="15"/>
      <c r="M47" s="15"/>
    </row>
    <row r="48" spans="5:13" x14ac:dyDescent="0.25">
      <c r="E48" s="15"/>
      <c r="M48" s="15"/>
    </row>
    <row r="49" spans="5:13" x14ac:dyDescent="0.25">
      <c r="E49" s="15"/>
      <c r="M49" s="15"/>
    </row>
    <row r="50" spans="5:13" x14ac:dyDescent="0.25">
      <c r="E50" s="15"/>
    </row>
    <row r="51" spans="5:13" x14ac:dyDescent="0.25">
      <c r="E51" s="1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workbookViewId="0">
      <selection sqref="A1:XFD1048576"/>
    </sheetView>
  </sheetViews>
  <sheetFormatPr defaultRowHeight="15" x14ac:dyDescent="0.25"/>
  <cols>
    <col min="1" max="1" width="5.140625" style="20" customWidth="1"/>
    <col min="2" max="27" width="5.140625" style="1" customWidth="1"/>
    <col min="28" max="16384" width="9.140625" style="1"/>
  </cols>
  <sheetData>
    <row r="1" spans="1:27" s="20" customFormat="1" ht="18" customHeight="1" x14ac:dyDescent="0.25">
      <c r="B1" s="24" t="s">
        <v>149</v>
      </c>
      <c r="C1" s="24" t="s">
        <v>150</v>
      </c>
      <c r="D1" s="24" t="s">
        <v>151</v>
      </c>
      <c r="E1" s="24" t="s">
        <v>152</v>
      </c>
      <c r="F1" s="24" t="s">
        <v>153</v>
      </c>
      <c r="G1" s="24" t="s">
        <v>154</v>
      </c>
      <c r="H1" s="24" t="s">
        <v>155</v>
      </c>
      <c r="I1" s="24" t="s">
        <v>156</v>
      </c>
      <c r="J1" s="24" t="s">
        <v>157</v>
      </c>
      <c r="K1" s="24" t="s">
        <v>158</v>
      </c>
      <c r="L1" s="24" t="s">
        <v>159</v>
      </c>
      <c r="M1" s="24" t="s">
        <v>160</v>
      </c>
      <c r="N1" s="24" t="s">
        <v>161</v>
      </c>
      <c r="O1" s="24" t="s">
        <v>162</v>
      </c>
      <c r="P1" s="24" t="s">
        <v>163</v>
      </c>
      <c r="Q1" s="24" t="s">
        <v>164</v>
      </c>
      <c r="R1" s="24" t="s">
        <v>165</v>
      </c>
      <c r="S1" s="24" t="s">
        <v>166</v>
      </c>
      <c r="T1" s="24" t="s">
        <v>167</v>
      </c>
      <c r="U1" s="24" t="s">
        <v>168</v>
      </c>
      <c r="V1" s="24" t="s">
        <v>169</v>
      </c>
      <c r="W1" s="24" t="s">
        <v>170</v>
      </c>
      <c r="X1" s="24" t="s">
        <v>171</v>
      </c>
      <c r="Y1" s="24" t="s">
        <v>172</v>
      </c>
      <c r="Z1" s="24" t="s">
        <v>173</v>
      </c>
      <c r="AA1" s="24" t="s">
        <v>174</v>
      </c>
    </row>
    <row r="2" spans="1:27" ht="15.75" x14ac:dyDescent="0.25">
      <c r="A2" s="21" t="s">
        <v>149</v>
      </c>
      <c r="B2" s="9"/>
      <c r="C2" s="10">
        <v>2.1333333333333333</v>
      </c>
      <c r="D2" s="10">
        <v>2.5</v>
      </c>
      <c r="E2" s="10">
        <v>2.5666666666666669</v>
      </c>
      <c r="F2" s="10">
        <v>3.4</v>
      </c>
      <c r="G2" s="10">
        <v>1.064516129032258</v>
      </c>
      <c r="H2" s="10">
        <v>3.3</v>
      </c>
      <c r="I2" s="10">
        <v>1.5666666666666667</v>
      </c>
      <c r="J2" s="10">
        <v>1.1612903225806452</v>
      </c>
      <c r="K2" s="10">
        <v>1.1333333333333333</v>
      </c>
      <c r="L2" s="10">
        <v>1.1333333333333333</v>
      </c>
      <c r="M2" s="10">
        <v>1.1000000000000001</v>
      </c>
      <c r="N2" s="10">
        <v>1.4</v>
      </c>
      <c r="O2" s="10">
        <v>1.6333333333333333</v>
      </c>
      <c r="P2" s="10">
        <v>3.1333333333333333</v>
      </c>
      <c r="Q2" s="10">
        <v>2.0333333333333332</v>
      </c>
      <c r="R2" s="10">
        <v>2.6</v>
      </c>
      <c r="S2" s="10">
        <v>1.4333333333333333</v>
      </c>
      <c r="T2" s="10">
        <v>2.1333333333333333</v>
      </c>
      <c r="U2" s="10">
        <v>1.0666666666666667</v>
      </c>
      <c r="V2" s="10">
        <v>2.4</v>
      </c>
      <c r="W2" s="10">
        <v>1.2333333333333334</v>
      </c>
      <c r="X2" s="10">
        <v>1.1290322580645162</v>
      </c>
      <c r="Y2" s="10">
        <v>1.096774193548387</v>
      </c>
      <c r="Z2" s="10">
        <v>1.0666666666666667</v>
      </c>
      <c r="AA2" s="10">
        <v>1.3666666666666667</v>
      </c>
    </row>
    <row r="3" spans="1:27" ht="15.75" x14ac:dyDescent="0.25">
      <c r="A3" s="22" t="s">
        <v>150</v>
      </c>
      <c r="B3" s="11">
        <v>2.1333333333333333</v>
      </c>
      <c r="C3" s="12"/>
      <c r="D3" s="11">
        <v>3.0333333333333332</v>
      </c>
      <c r="E3" s="11">
        <v>5.6</v>
      </c>
      <c r="F3" s="11">
        <v>2.2666666666666666</v>
      </c>
      <c r="G3" s="11">
        <v>1.8333333333333333</v>
      </c>
      <c r="H3" s="11">
        <v>3.5333333333333332</v>
      </c>
      <c r="I3" s="11">
        <v>3.7</v>
      </c>
      <c r="J3" s="11">
        <v>1.4333333333333333</v>
      </c>
      <c r="K3" s="11">
        <v>1.4333333333333333</v>
      </c>
      <c r="L3" s="11">
        <v>2.1333333333333333</v>
      </c>
      <c r="M3" s="11">
        <v>2.7666666666666666</v>
      </c>
      <c r="N3" s="11">
        <v>1.2333333333333334</v>
      </c>
      <c r="O3" s="11">
        <v>1.7666666666666666</v>
      </c>
      <c r="P3" s="11">
        <v>4.2</v>
      </c>
      <c r="Q3" s="11">
        <v>5.0666666666666664</v>
      </c>
      <c r="R3" s="11">
        <v>4.666666666666667</v>
      </c>
      <c r="S3" s="11">
        <v>1.2666666666666666</v>
      </c>
      <c r="T3" s="11">
        <v>1.4</v>
      </c>
      <c r="U3" s="11">
        <v>1.6333333333333333</v>
      </c>
      <c r="V3" s="11">
        <v>1.9333333333333333</v>
      </c>
      <c r="W3" s="11">
        <v>1.4</v>
      </c>
      <c r="X3" s="11">
        <v>1.1000000000000001</v>
      </c>
      <c r="Y3" s="11">
        <v>1.0666666666666667</v>
      </c>
      <c r="Z3" s="11">
        <v>1.2</v>
      </c>
      <c r="AA3" s="11">
        <v>1.1333333333333333</v>
      </c>
    </row>
    <row r="4" spans="1:27" ht="15.75" x14ac:dyDescent="0.25">
      <c r="A4" s="22" t="s">
        <v>151</v>
      </c>
      <c r="B4" s="11">
        <v>2.5</v>
      </c>
      <c r="C4" s="11">
        <v>3.0333333333333332</v>
      </c>
      <c r="D4" s="9"/>
      <c r="E4" s="10">
        <v>3.5666666666666669</v>
      </c>
      <c r="F4" s="10">
        <v>4.4333333333333336</v>
      </c>
      <c r="G4" s="10">
        <v>1.2413793103448276</v>
      </c>
      <c r="H4" s="11">
        <v>2.4666666666666668</v>
      </c>
      <c r="I4" s="11">
        <v>1.3</v>
      </c>
      <c r="J4" s="11">
        <v>1.1000000000000001</v>
      </c>
      <c r="K4" s="11">
        <v>1.1333333333333333</v>
      </c>
      <c r="L4" s="11">
        <v>1.3</v>
      </c>
      <c r="M4" s="11">
        <v>1.1666666666666667</v>
      </c>
      <c r="N4" s="11">
        <v>1.2</v>
      </c>
      <c r="O4" s="11">
        <v>2</v>
      </c>
      <c r="P4" s="11">
        <v>5.2333333333333334</v>
      </c>
      <c r="Q4" s="11">
        <v>2.6</v>
      </c>
      <c r="R4" s="11">
        <v>2.7666666666666666</v>
      </c>
      <c r="S4" s="11">
        <v>1.4</v>
      </c>
      <c r="T4" s="11">
        <v>2.4333333333333331</v>
      </c>
      <c r="U4" s="11">
        <v>1.4</v>
      </c>
      <c r="V4" s="11">
        <v>2.1666666666666665</v>
      </c>
      <c r="W4" s="11">
        <v>1.5333333333333334</v>
      </c>
      <c r="X4" s="11">
        <v>1.2333333333333334</v>
      </c>
      <c r="Y4" s="11">
        <v>1.2333333333333334</v>
      </c>
      <c r="Z4" s="11">
        <v>1.2903225806451613</v>
      </c>
      <c r="AA4" s="11">
        <v>1.4666666666666666</v>
      </c>
    </row>
    <row r="5" spans="1:27" ht="15.75" x14ac:dyDescent="0.25">
      <c r="A5" s="22" t="s">
        <v>152</v>
      </c>
      <c r="B5" s="11">
        <v>2.5666666666666669</v>
      </c>
      <c r="C5" s="11">
        <v>5.6</v>
      </c>
      <c r="D5" s="10">
        <v>3.5666666666666669</v>
      </c>
      <c r="E5" s="12"/>
      <c r="F5" s="10">
        <v>2.8666666666666667</v>
      </c>
      <c r="G5" s="10">
        <v>1.4333333333333333</v>
      </c>
      <c r="H5" s="11">
        <v>4.0999999999999996</v>
      </c>
      <c r="I5" s="11">
        <v>2.7333333333333334</v>
      </c>
      <c r="J5" s="11">
        <v>1.7333333333333334</v>
      </c>
      <c r="K5" s="11">
        <v>1.2666666666666666</v>
      </c>
      <c r="L5" s="11">
        <v>1.3333333333333333</v>
      </c>
      <c r="M5" s="11">
        <v>2.2999999999999998</v>
      </c>
      <c r="N5" s="11">
        <v>1.1333333333333333</v>
      </c>
      <c r="O5" s="11">
        <v>1.9333333333333333</v>
      </c>
      <c r="P5" s="11">
        <v>4.9000000000000004</v>
      </c>
      <c r="Q5" s="11">
        <v>5.096774193548387</v>
      </c>
      <c r="R5" s="11">
        <v>5.0999999999999996</v>
      </c>
      <c r="S5" s="11">
        <v>1.3333333333333333</v>
      </c>
      <c r="T5" s="11">
        <v>1.2666666666666666</v>
      </c>
      <c r="U5" s="11">
        <v>1.3666666666666667</v>
      </c>
      <c r="V5" s="11">
        <v>1.8333333333333333</v>
      </c>
      <c r="W5" s="11">
        <v>1.5517241379310345</v>
      </c>
      <c r="X5" s="11">
        <v>1.0666666666666667</v>
      </c>
      <c r="Y5" s="11">
        <v>1.2333333333333334</v>
      </c>
      <c r="Z5" s="11">
        <v>1.1333333333333333</v>
      </c>
      <c r="AA5" s="11">
        <v>1.2333333333333334</v>
      </c>
    </row>
    <row r="6" spans="1:27" ht="15.75" x14ac:dyDescent="0.25">
      <c r="A6" s="22" t="s">
        <v>153</v>
      </c>
      <c r="B6" s="11">
        <v>3.4</v>
      </c>
      <c r="C6" s="11">
        <v>2.2666666666666666</v>
      </c>
      <c r="D6" s="10">
        <v>4.4333333333333336</v>
      </c>
      <c r="E6" s="10">
        <v>2.8666666666666667</v>
      </c>
      <c r="F6" s="12"/>
      <c r="G6" s="10">
        <v>1.3333333333333333</v>
      </c>
      <c r="H6" s="11">
        <v>2.3666666666666667</v>
      </c>
      <c r="I6" s="11">
        <v>1.2333333333333334</v>
      </c>
      <c r="J6" s="11">
        <v>1.2</v>
      </c>
      <c r="K6" s="11">
        <v>1.1666666666666667</v>
      </c>
      <c r="L6" s="11">
        <v>1.2</v>
      </c>
      <c r="M6" s="11">
        <v>1.0666666666666667</v>
      </c>
      <c r="N6" s="11">
        <v>1.1333333333333333</v>
      </c>
      <c r="O6" s="11">
        <v>1.7333333333333334</v>
      </c>
      <c r="P6" s="11">
        <v>4.1333333333333337</v>
      </c>
      <c r="Q6" s="11">
        <v>2.4</v>
      </c>
      <c r="R6" s="11">
        <v>2.4333333333333331</v>
      </c>
      <c r="S6" s="11">
        <v>1.2666666666666666</v>
      </c>
      <c r="T6" s="11">
        <v>2.2000000000000002</v>
      </c>
      <c r="U6" s="11">
        <v>1.2</v>
      </c>
      <c r="V6" s="11">
        <v>1.5666666666666667</v>
      </c>
      <c r="W6" s="11">
        <v>1.2333333333333334</v>
      </c>
      <c r="X6" s="11">
        <v>1.3</v>
      </c>
      <c r="Y6" s="11">
        <v>1.3</v>
      </c>
      <c r="Z6" s="11">
        <v>1.3666666666666667</v>
      </c>
      <c r="AA6" s="11">
        <v>1.3333333333333333</v>
      </c>
    </row>
    <row r="7" spans="1:27" ht="15.75" x14ac:dyDescent="0.25">
      <c r="A7" s="22" t="s">
        <v>154</v>
      </c>
      <c r="B7" s="11">
        <v>1.064516129032258</v>
      </c>
      <c r="C7" s="11">
        <v>1.8333333333333333</v>
      </c>
      <c r="D7" s="11">
        <v>1.2413793103448276</v>
      </c>
      <c r="E7" s="11">
        <v>1.4333333333333333</v>
      </c>
      <c r="F7" s="11">
        <v>1.3333333333333333</v>
      </c>
      <c r="G7" s="12"/>
      <c r="H7" s="11">
        <v>1.4</v>
      </c>
      <c r="I7" s="11">
        <v>1.8</v>
      </c>
      <c r="J7" s="11">
        <v>4.161290322580645</v>
      </c>
      <c r="K7" s="11">
        <v>3.6666666666666665</v>
      </c>
      <c r="L7" s="11">
        <v>1.5666666666666667</v>
      </c>
      <c r="M7" s="11">
        <v>4.0333333333333332</v>
      </c>
      <c r="N7" s="11">
        <v>1.3333333333333333</v>
      </c>
      <c r="O7" s="11">
        <v>1.2</v>
      </c>
      <c r="P7" s="11">
        <v>1.1666666666666667</v>
      </c>
      <c r="Q7" s="11">
        <v>1.6333333333333333</v>
      </c>
      <c r="R7" s="11">
        <v>1.4666666666666666</v>
      </c>
      <c r="S7" s="11">
        <v>3.8</v>
      </c>
      <c r="T7" s="11">
        <v>1.2666666666666666</v>
      </c>
      <c r="U7" s="11">
        <v>4.8</v>
      </c>
      <c r="V7" s="11">
        <v>1.2666666666666666</v>
      </c>
      <c r="W7" s="11">
        <v>1.2333333333333334</v>
      </c>
      <c r="X7" s="11">
        <v>1.1333333333333333</v>
      </c>
      <c r="Y7" s="11">
        <v>1.2758620689655173</v>
      </c>
      <c r="Z7" s="11">
        <v>1.4</v>
      </c>
      <c r="AA7" s="11">
        <v>1.3</v>
      </c>
    </row>
    <row r="8" spans="1:27" ht="15.75" x14ac:dyDescent="0.25">
      <c r="A8" s="22" t="s">
        <v>155</v>
      </c>
      <c r="B8" s="11">
        <v>3.3</v>
      </c>
      <c r="C8" s="11">
        <v>3.5333333333333332</v>
      </c>
      <c r="D8" s="11">
        <v>2.4666666666666668</v>
      </c>
      <c r="E8" s="11">
        <v>4.0999999999999996</v>
      </c>
      <c r="F8" s="11">
        <v>2.3666666666666667</v>
      </c>
      <c r="G8" s="11">
        <v>1.4</v>
      </c>
      <c r="H8" s="9"/>
      <c r="I8" s="10">
        <v>1.5666666666666667</v>
      </c>
      <c r="J8" s="10">
        <v>1.5333333333333334</v>
      </c>
      <c r="K8" s="10">
        <v>2.3333333333333335</v>
      </c>
      <c r="L8" s="10">
        <v>1.1666666666666667</v>
      </c>
      <c r="M8" s="10">
        <v>1.3</v>
      </c>
      <c r="N8" s="11">
        <v>1.2666666666666666</v>
      </c>
      <c r="O8" s="11">
        <v>1.7</v>
      </c>
      <c r="P8" s="11">
        <v>3.4666666666666668</v>
      </c>
      <c r="Q8" s="11">
        <v>4.5</v>
      </c>
      <c r="R8" s="11">
        <v>5.3</v>
      </c>
      <c r="S8" s="11">
        <v>1.2666666666666666</v>
      </c>
      <c r="T8" s="11">
        <v>1.8</v>
      </c>
      <c r="U8" s="11">
        <v>1.1333333333333333</v>
      </c>
      <c r="V8" s="11">
        <v>1.7333333333333334</v>
      </c>
      <c r="W8" s="11">
        <v>1.2</v>
      </c>
      <c r="X8" s="11">
        <v>1.1666666666666667</v>
      </c>
      <c r="Y8" s="11">
        <v>1.2</v>
      </c>
      <c r="Z8" s="11">
        <v>2.6666666666666665</v>
      </c>
      <c r="AA8" s="11">
        <v>1.2333333333333334</v>
      </c>
    </row>
    <row r="9" spans="1:27" ht="15.75" x14ac:dyDescent="0.25">
      <c r="A9" s="22" t="s">
        <v>156</v>
      </c>
      <c r="B9" s="11">
        <v>1.5666666666666667</v>
      </c>
      <c r="C9" s="11">
        <v>3.7</v>
      </c>
      <c r="D9" s="11">
        <v>1.3</v>
      </c>
      <c r="E9" s="11">
        <v>2.7333333333333334</v>
      </c>
      <c r="F9" s="11">
        <v>1.2333333333333334</v>
      </c>
      <c r="G9" s="11">
        <v>1.8</v>
      </c>
      <c r="H9" s="10">
        <v>1.5666666666666667</v>
      </c>
      <c r="I9" s="12"/>
      <c r="J9" s="10">
        <v>1.9333333333333333</v>
      </c>
      <c r="K9" s="10">
        <v>1.6</v>
      </c>
      <c r="L9" s="10">
        <v>2.7666666666666666</v>
      </c>
      <c r="M9" s="10">
        <v>2.5333333333333332</v>
      </c>
      <c r="N9" s="11">
        <v>2.5333333333333332</v>
      </c>
      <c r="O9" s="11">
        <v>5.5333333333333332</v>
      </c>
      <c r="P9" s="11">
        <v>1.4666666666666666</v>
      </c>
      <c r="Q9" s="11">
        <v>2.4666666666666668</v>
      </c>
      <c r="R9" s="11">
        <v>2.1666666666666665</v>
      </c>
      <c r="S9" s="11">
        <v>2.3666666666666667</v>
      </c>
      <c r="T9" s="11">
        <v>1.2333333333333334</v>
      </c>
      <c r="U9" s="11">
        <v>1.9666666666666666</v>
      </c>
      <c r="V9" s="11">
        <v>3.3333333333333335</v>
      </c>
      <c r="W9" s="11">
        <v>1.4</v>
      </c>
      <c r="X9" s="11">
        <v>1.3</v>
      </c>
      <c r="Y9" s="11">
        <v>1.2333333333333334</v>
      </c>
      <c r="Z9" s="11">
        <v>1.5</v>
      </c>
      <c r="AA9" s="11">
        <v>1.2</v>
      </c>
    </row>
    <row r="10" spans="1:27" ht="15.75" x14ac:dyDescent="0.25">
      <c r="A10" s="22" t="s">
        <v>157</v>
      </c>
      <c r="B10" s="11">
        <v>1.1612903225806452</v>
      </c>
      <c r="C10" s="11">
        <v>1.4333333333333333</v>
      </c>
      <c r="D10" s="11">
        <v>1.1000000000000001</v>
      </c>
      <c r="E10" s="11">
        <v>1.7333333333333334</v>
      </c>
      <c r="F10" s="11">
        <v>1.2</v>
      </c>
      <c r="G10" s="11">
        <v>4.161290322580645</v>
      </c>
      <c r="H10" s="10">
        <v>1.5333333333333334</v>
      </c>
      <c r="I10" s="10">
        <v>1.9333333333333333</v>
      </c>
      <c r="J10" s="12"/>
      <c r="K10" s="10">
        <v>5.166666666666667</v>
      </c>
      <c r="L10" s="10">
        <v>1.9</v>
      </c>
      <c r="M10" s="10">
        <v>6.1333333333333337</v>
      </c>
      <c r="N10" s="11">
        <v>1.6333333333333333</v>
      </c>
      <c r="O10" s="11">
        <v>1.5</v>
      </c>
      <c r="P10" s="11">
        <v>1.3333333333333333</v>
      </c>
      <c r="Q10" s="11">
        <v>1.6</v>
      </c>
      <c r="R10" s="11">
        <v>1.5517241379310345</v>
      </c>
      <c r="S10" s="11">
        <v>2.7</v>
      </c>
      <c r="T10" s="11">
        <v>1.0666666666666667</v>
      </c>
      <c r="U10" s="11">
        <v>3.9</v>
      </c>
      <c r="V10" s="11">
        <v>1.6666666666666667</v>
      </c>
      <c r="W10" s="11">
        <v>1.6666666666666667</v>
      </c>
      <c r="X10" s="11">
        <v>1.3</v>
      </c>
      <c r="Y10" s="11">
        <v>1.4</v>
      </c>
      <c r="Z10" s="11">
        <v>1.5</v>
      </c>
      <c r="AA10" s="11">
        <v>1.1333333333333333</v>
      </c>
    </row>
    <row r="11" spans="1:27" ht="15.75" x14ac:dyDescent="0.25">
      <c r="A11" s="22" t="s">
        <v>158</v>
      </c>
      <c r="B11" s="11">
        <v>1.1333333333333333</v>
      </c>
      <c r="C11" s="11">
        <v>1.4333333333333333</v>
      </c>
      <c r="D11" s="11">
        <v>1.1333333333333333</v>
      </c>
      <c r="E11" s="11">
        <v>1.2666666666666666</v>
      </c>
      <c r="F11" s="11">
        <v>1.1666666666666667</v>
      </c>
      <c r="G11" s="11">
        <v>3.6666666666666665</v>
      </c>
      <c r="H11" s="11">
        <v>2.3333333333333335</v>
      </c>
      <c r="I11" s="11">
        <v>1.6</v>
      </c>
      <c r="J11" s="11">
        <v>5.166666666666667</v>
      </c>
      <c r="K11" s="12"/>
      <c r="L11" s="11">
        <v>1.4666666666666666</v>
      </c>
      <c r="M11" s="11">
        <v>4.666666666666667</v>
      </c>
      <c r="N11" s="11">
        <v>1.1333333333333333</v>
      </c>
      <c r="O11" s="11">
        <v>1.3</v>
      </c>
      <c r="P11" s="11">
        <v>1</v>
      </c>
      <c r="Q11" s="11">
        <v>1.5666666666666667</v>
      </c>
      <c r="R11" s="11">
        <v>1.6333333333333333</v>
      </c>
      <c r="S11" s="11">
        <v>2.2999999999999998</v>
      </c>
      <c r="T11" s="11">
        <v>1.1666666666666667</v>
      </c>
      <c r="U11" s="11">
        <v>3.8</v>
      </c>
      <c r="V11" s="11">
        <v>1.3</v>
      </c>
      <c r="W11" s="11">
        <v>1.3666666666666667</v>
      </c>
      <c r="X11" s="11">
        <v>1.1000000000000001</v>
      </c>
      <c r="Y11" s="11">
        <v>1.2580645161290323</v>
      </c>
      <c r="Z11" s="11">
        <v>2.8666666666666667</v>
      </c>
      <c r="AA11" s="11">
        <v>1.2333333333333334</v>
      </c>
    </row>
    <row r="12" spans="1:27" ht="15.75" x14ac:dyDescent="0.25">
      <c r="A12" s="22" t="s">
        <v>159</v>
      </c>
      <c r="B12" s="11">
        <v>1.1333333333333333</v>
      </c>
      <c r="C12" s="11">
        <v>2.1333333333333333</v>
      </c>
      <c r="D12" s="11">
        <v>1.3</v>
      </c>
      <c r="E12" s="11">
        <v>1.3333333333333333</v>
      </c>
      <c r="F12" s="11">
        <v>1.2</v>
      </c>
      <c r="G12" s="11">
        <v>1.5666666666666667</v>
      </c>
      <c r="H12" s="11">
        <v>1.1666666666666667</v>
      </c>
      <c r="I12" s="10">
        <v>2.7666666666666666</v>
      </c>
      <c r="J12" s="10">
        <v>1.9</v>
      </c>
      <c r="K12" s="10">
        <v>1.4666666666666666</v>
      </c>
      <c r="L12" s="12"/>
      <c r="M12" s="10">
        <v>2.8</v>
      </c>
      <c r="N12" s="11">
        <v>1.2</v>
      </c>
      <c r="O12" s="11">
        <v>1.5333333333333334</v>
      </c>
      <c r="P12" s="11">
        <v>1.0333333333333334</v>
      </c>
      <c r="Q12" s="11">
        <v>1.5333333333333334</v>
      </c>
      <c r="R12" s="11">
        <v>1.4666666666666666</v>
      </c>
      <c r="S12" s="11">
        <v>2</v>
      </c>
      <c r="T12" s="11">
        <v>1.4</v>
      </c>
      <c r="U12" s="11">
        <v>2.1333333333333333</v>
      </c>
      <c r="V12" s="11">
        <v>1.2580645161290323</v>
      </c>
      <c r="W12" s="11">
        <v>1.9666666666666666</v>
      </c>
      <c r="X12" s="11">
        <v>2.0666666666666669</v>
      </c>
      <c r="Y12" s="11">
        <v>3.5483870967741935</v>
      </c>
      <c r="Z12" s="11">
        <v>2.0333333333333332</v>
      </c>
      <c r="AA12" s="11">
        <v>1.5</v>
      </c>
    </row>
    <row r="13" spans="1:27" ht="15.75" x14ac:dyDescent="0.25">
      <c r="A13" s="22" t="s">
        <v>160</v>
      </c>
      <c r="B13" s="11">
        <v>1.1000000000000001</v>
      </c>
      <c r="C13" s="11">
        <v>2.7666666666666666</v>
      </c>
      <c r="D13" s="11">
        <v>1.1666666666666667</v>
      </c>
      <c r="E13" s="11">
        <v>2.2999999999999998</v>
      </c>
      <c r="F13" s="11">
        <v>1.0666666666666667</v>
      </c>
      <c r="G13" s="11">
        <v>4.0333333333333332</v>
      </c>
      <c r="H13" s="11">
        <v>1.3</v>
      </c>
      <c r="I13" s="11">
        <v>2.5333333333333332</v>
      </c>
      <c r="J13" s="11">
        <v>6.1333333333333337</v>
      </c>
      <c r="K13" s="11">
        <v>4.666666666666667</v>
      </c>
      <c r="L13" s="11">
        <v>2.8</v>
      </c>
      <c r="M13" s="12"/>
      <c r="N13" s="11">
        <v>1.0666666666666667</v>
      </c>
      <c r="O13" s="11">
        <v>1.3666666666666667</v>
      </c>
      <c r="P13" s="11">
        <v>1.2333333333333334</v>
      </c>
      <c r="Q13" s="11">
        <v>1.8</v>
      </c>
      <c r="R13" s="11">
        <v>1.8333333333333333</v>
      </c>
      <c r="S13" s="11">
        <v>3.2580645161290325</v>
      </c>
      <c r="T13" s="11">
        <v>1.1000000000000001</v>
      </c>
      <c r="U13" s="11">
        <v>4.5</v>
      </c>
      <c r="V13" s="11">
        <v>1.2903225806451613</v>
      </c>
      <c r="W13" s="11">
        <v>1.3666666666666667</v>
      </c>
      <c r="X13" s="11">
        <v>1.3333333333333333</v>
      </c>
      <c r="Y13" s="11">
        <v>1.2666666666666666</v>
      </c>
      <c r="Z13" s="11">
        <v>1.8064516129032258</v>
      </c>
      <c r="AA13" s="11">
        <v>1.1000000000000001</v>
      </c>
    </row>
    <row r="14" spans="1:27" ht="15.75" x14ac:dyDescent="0.25">
      <c r="A14" s="22" t="s">
        <v>161</v>
      </c>
      <c r="B14" s="11">
        <v>1.4</v>
      </c>
      <c r="C14" s="11">
        <v>1.2333333333333334</v>
      </c>
      <c r="D14" s="11">
        <v>1.2</v>
      </c>
      <c r="E14" s="11">
        <v>1.1333333333333333</v>
      </c>
      <c r="F14" s="11">
        <v>1.1333333333333333</v>
      </c>
      <c r="G14" s="11">
        <v>1.3333333333333333</v>
      </c>
      <c r="H14" s="11">
        <v>1.2666666666666666</v>
      </c>
      <c r="I14" s="11">
        <v>2.5333333333333332</v>
      </c>
      <c r="J14" s="11">
        <v>1.6333333333333333</v>
      </c>
      <c r="K14" s="11">
        <v>1.1333333333333333</v>
      </c>
      <c r="L14" s="11">
        <v>1.2</v>
      </c>
      <c r="M14" s="11">
        <v>1.0666666666666667</v>
      </c>
      <c r="N14" s="9"/>
      <c r="O14" s="10">
        <v>4.666666666666667</v>
      </c>
      <c r="P14" s="10">
        <v>1.3</v>
      </c>
      <c r="Q14" s="11">
        <v>1.3333333333333333</v>
      </c>
      <c r="R14" s="11">
        <v>1.1666666666666667</v>
      </c>
      <c r="S14" s="11">
        <v>2.2333333333333334</v>
      </c>
      <c r="T14" s="11">
        <v>1.2</v>
      </c>
      <c r="U14" s="11">
        <v>1.0666666666666667</v>
      </c>
      <c r="V14" s="11">
        <v>2.2666666666666666</v>
      </c>
      <c r="W14" s="11">
        <v>1.3333333333333333</v>
      </c>
      <c r="X14" s="11">
        <v>3.4</v>
      </c>
      <c r="Y14" s="11">
        <v>1.1000000000000001</v>
      </c>
      <c r="Z14" s="11">
        <v>1.2</v>
      </c>
      <c r="AA14" s="11">
        <v>1.1000000000000001</v>
      </c>
    </row>
    <row r="15" spans="1:27" ht="15.75" x14ac:dyDescent="0.25">
      <c r="A15" s="22" t="s">
        <v>162</v>
      </c>
      <c r="B15" s="11">
        <v>1.6333333333333333</v>
      </c>
      <c r="C15" s="11">
        <v>1.7666666666666666</v>
      </c>
      <c r="D15" s="11">
        <v>2</v>
      </c>
      <c r="E15" s="11">
        <v>1.9333333333333333</v>
      </c>
      <c r="F15" s="11">
        <v>1.7333333333333334</v>
      </c>
      <c r="G15" s="11">
        <v>1.2</v>
      </c>
      <c r="H15" s="11">
        <v>1.7</v>
      </c>
      <c r="I15" s="11">
        <v>5.5333333333333332</v>
      </c>
      <c r="J15" s="11">
        <v>1.5</v>
      </c>
      <c r="K15" s="11">
        <v>1.3</v>
      </c>
      <c r="L15" s="11">
        <v>1.5333333333333334</v>
      </c>
      <c r="M15" s="11">
        <v>1.3666666666666667</v>
      </c>
      <c r="N15" s="10">
        <v>4.666666666666667</v>
      </c>
      <c r="O15" s="12"/>
      <c r="P15" s="10">
        <v>2.4</v>
      </c>
      <c r="Q15" s="11">
        <v>1.8333333333333333</v>
      </c>
      <c r="R15" s="11">
        <v>1.9</v>
      </c>
      <c r="S15" s="11">
        <v>3.1333333333333333</v>
      </c>
      <c r="T15" s="11">
        <v>1.5161290322580645</v>
      </c>
      <c r="U15" s="11">
        <v>1.1000000000000001</v>
      </c>
      <c r="V15" s="11">
        <v>4.5333333333333332</v>
      </c>
      <c r="W15" s="11">
        <v>1.967741935483871</v>
      </c>
      <c r="X15" s="11">
        <v>1.6129032258064515</v>
      </c>
      <c r="Y15" s="11">
        <v>1.0333333333333334</v>
      </c>
      <c r="Z15" s="11">
        <v>1.4333333333333333</v>
      </c>
      <c r="AA15" s="11">
        <v>1.5666666666666667</v>
      </c>
    </row>
    <row r="16" spans="1:27" ht="15.75" x14ac:dyDescent="0.25">
      <c r="A16" s="22" t="s">
        <v>163</v>
      </c>
      <c r="B16" s="11">
        <v>3.1333333333333333</v>
      </c>
      <c r="C16" s="11">
        <v>4.2</v>
      </c>
      <c r="D16" s="11">
        <v>5.2333333333333334</v>
      </c>
      <c r="E16" s="11">
        <v>4.9000000000000004</v>
      </c>
      <c r="F16" s="11">
        <v>4.1333333333333337</v>
      </c>
      <c r="G16" s="11">
        <v>1.1666666666666667</v>
      </c>
      <c r="H16" s="11">
        <v>3.4666666666666668</v>
      </c>
      <c r="I16" s="11">
        <v>1.4666666666666666</v>
      </c>
      <c r="J16" s="11">
        <v>1.3333333333333333</v>
      </c>
      <c r="K16" s="11">
        <v>1</v>
      </c>
      <c r="L16" s="11">
        <v>1.0333333333333334</v>
      </c>
      <c r="M16" s="11">
        <v>1.2333333333333334</v>
      </c>
      <c r="N16" s="10">
        <v>1.3</v>
      </c>
      <c r="O16" s="10">
        <v>2.4</v>
      </c>
      <c r="P16" s="12"/>
      <c r="Q16" s="11">
        <v>3.6</v>
      </c>
      <c r="R16" s="11">
        <v>4.0999999999999996</v>
      </c>
      <c r="S16" s="11">
        <v>1.1333333333333333</v>
      </c>
      <c r="T16" s="11">
        <v>2.2666666666666666</v>
      </c>
      <c r="U16" s="11">
        <v>1.1333333333333333</v>
      </c>
      <c r="V16" s="11">
        <v>2.8333333333333335</v>
      </c>
      <c r="W16" s="11">
        <v>1.2666666666666666</v>
      </c>
      <c r="X16" s="11">
        <v>1.1333333333333333</v>
      </c>
      <c r="Y16" s="11">
        <v>1.0666666666666667</v>
      </c>
      <c r="Z16" s="11">
        <v>1.1666666666666667</v>
      </c>
      <c r="AA16" s="11">
        <v>1.2666666666666666</v>
      </c>
    </row>
    <row r="17" spans="1:27" ht="15.75" x14ac:dyDescent="0.25">
      <c r="A17" s="22" t="s">
        <v>164</v>
      </c>
      <c r="B17" s="11">
        <v>2.0333333333333332</v>
      </c>
      <c r="C17" s="11">
        <v>5.0666666666666664</v>
      </c>
      <c r="D17" s="11">
        <v>2.6</v>
      </c>
      <c r="E17" s="11">
        <v>5.096774193548387</v>
      </c>
      <c r="F17" s="11">
        <v>2.4</v>
      </c>
      <c r="G17" s="11">
        <v>1.6333333333333333</v>
      </c>
      <c r="H17" s="11">
        <v>4.5</v>
      </c>
      <c r="I17" s="11">
        <v>2.4666666666666668</v>
      </c>
      <c r="J17" s="11">
        <v>1.6</v>
      </c>
      <c r="K17" s="11">
        <v>1.5666666666666667</v>
      </c>
      <c r="L17" s="11">
        <v>1.5333333333333334</v>
      </c>
      <c r="M17" s="11">
        <v>1.8</v>
      </c>
      <c r="N17" s="11">
        <v>1.3333333333333333</v>
      </c>
      <c r="O17" s="11">
        <v>1.8333333333333333</v>
      </c>
      <c r="P17" s="11">
        <v>3.6</v>
      </c>
      <c r="Q17" s="12"/>
      <c r="R17" s="10">
        <v>5.5666666666666664</v>
      </c>
      <c r="S17" s="10">
        <v>1.7666666666666666</v>
      </c>
      <c r="T17" s="10">
        <v>1.2580645161290323</v>
      </c>
      <c r="U17" s="10">
        <v>1.3333333333333333</v>
      </c>
      <c r="V17" s="10">
        <v>1.8</v>
      </c>
      <c r="W17" s="11">
        <v>1.1333333333333333</v>
      </c>
      <c r="X17" s="11">
        <v>1.1666666666666667</v>
      </c>
      <c r="Y17" s="11">
        <v>1.1000000000000001</v>
      </c>
      <c r="Z17" s="11">
        <v>1.9666666666666666</v>
      </c>
      <c r="AA17" s="11">
        <v>1.1666666666666667</v>
      </c>
    </row>
    <row r="18" spans="1:27" ht="15.75" x14ac:dyDescent="0.25">
      <c r="A18" s="22" t="s">
        <v>165</v>
      </c>
      <c r="B18" s="11">
        <v>2.6</v>
      </c>
      <c r="C18" s="11">
        <v>4.666666666666667</v>
      </c>
      <c r="D18" s="11">
        <v>2.7666666666666666</v>
      </c>
      <c r="E18" s="11">
        <v>5.0999999999999996</v>
      </c>
      <c r="F18" s="11">
        <v>2.4333333333333331</v>
      </c>
      <c r="G18" s="11">
        <v>1.4666666666666666</v>
      </c>
      <c r="H18" s="11">
        <v>5.3</v>
      </c>
      <c r="I18" s="11">
        <v>2.1666666666666665</v>
      </c>
      <c r="J18" s="11">
        <v>1.5517241379310345</v>
      </c>
      <c r="K18" s="11">
        <v>1.6333333333333333</v>
      </c>
      <c r="L18" s="11">
        <v>1.4666666666666666</v>
      </c>
      <c r="M18" s="11">
        <v>1.8333333333333333</v>
      </c>
      <c r="N18" s="11">
        <v>1.1666666666666667</v>
      </c>
      <c r="O18" s="11">
        <v>1.9</v>
      </c>
      <c r="P18" s="11">
        <v>4.0999999999999996</v>
      </c>
      <c r="Q18" s="10">
        <v>5.5666666666666664</v>
      </c>
      <c r="R18" s="12"/>
      <c r="S18" s="10">
        <v>1.4666666666666666</v>
      </c>
      <c r="T18" s="10">
        <v>1.2333333333333334</v>
      </c>
      <c r="U18" s="10">
        <v>1.8</v>
      </c>
      <c r="V18" s="10">
        <v>2.2999999999999998</v>
      </c>
      <c r="W18" s="11">
        <v>1.2</v>
      </c>
      <c r="X18" s="11">
        <v>1.0333333333333334</v>
      </c>
      <c r="Y18" s="11">
        <v>1.1000000000000001</v>
      </c>
      <c r="Z18" s="11">
        <v>2.0333333333333332</v>
      </c>
      <c r="AA18" s="11">
        <v>1.1666666666666667</v>
      </c>
    </row>
    <row r="19" spans="1:27" ht="15.75" x14ac:dyDescent="0.25">
      <c r="A19" s="22" t="s">
        <v>166</v>
      </c>
      <c r="B19" s="11">
        <v>1.4333333333333333</v>
      </c>
      <c r="C19" s="11">
        <v>1.2666666666666666</v>
      </c>
      <c r="D19" s="11">
        <v>1.4</v>
      </c>
      <c r="E19" s="11">
        <v>1.3333333333333333</v>
      </c>
      <c r="F19" s="11">
        <v>1.2666666666666666</v>
      </c>
      <c r="G19" s="11">
        <v>3.8</v>
      </c>
      <c r="H19" s="11">
        <v>1.2666666666666666</v>
      </c>
      <c r="I19" s="11">
        <v>2.3666666666666667</v>
      </c>
      <c r="J19" s="11">
        <v>2.7</v>
      </c>
      <c r="K19" s="11">
        <v>2.2999999999999998</v>
      </c>
      <c r="L19" s="11">
        <v>2</v>
      </c>
      <c r="M19" s="11">
        <v>3.2580645161290325</v>
      </c>
      <c r="N19" s="11">
        <v>2.2333333333333334</v>
      </c>
      <c r="O19" s="11">
        <v>3.1333333333333333</v>
      </c>
      <c r="P19" s="11">
        <v>1.1333333333333333</v>
      </c>
      <c r="Q19" s="10">
        <v>1.7666666666666666</v>
      </c>
      <c r="R19" s="10">
        <v>1.4666666666666666</v>
      </c>
      <c r="S19" s="12"/>
      <c r="T19" s="10">
        <v>1.6</v>
      </c>
      <c r="U19" s="10">
        <v>3.3666666666666667</v>
      </c>
      <c r="V19" s="10">
        <v>1.9666666666666666</v>
      </c>
      <c r="W19" s="11">
        <v>1.6666666666666667</v>
      </c>
      <c r="X19" s="11">
        <v>1.0333333333333334</v>
      </c>
      <c r="Y19" s="11">
        <v>1.4333333333333333</v>
      </c>
      <c r="Z19" s="11">
        <v>1.2666666666666666</v>
      </c>
      <c r="AA19" s="11">
        <v>1.3</v>
      </c>
    </row>
    <row r="20" spans="1:27" ht="15.75" x14ac:dyDescent="0.25">
      <c r="A20" s="22" t="s">
        <v>167</v>
      </c>
      <c r="B20" s="11">
        <v>2.1333333333333333</v>
      </c>
      <c r="C20" s="11">
        <v>1.4</v>
      </c>
      <c r="D20" s="11">
        <v>2.4333333333333331</v>
      </c>
      <c r="E20" s="11">
        <v>1.2666666666666666</v>
      </c>
      <c r="F20" s="11">
        <v>2.2000000000000002</v>
      </c>
      <c r="G20" s="11">
        <v>1.2666666666666666</v>
      </c>
      <c r="H20" s="11">
        <v>1.8</v>
      </c>
      <c r="I20" s="11">
        <v>1.2333333333333334</v>
      </c>
      <c r="J20" s="11">
        <v>1.0666666666666667</v>
      </c>
      <c r="K20" s="11">
        <v>1.1666666666666667</v>
      </c>
      <c r="L20" s="11">
        <v>1.4</v>
      </c>
      <c r="M20" s="11">
        <v>1.1000000000000001</v>
      </c>
      <c r="N20" s="11">
        <v>1.2</v>
      </c>
      <c r="O20" s="11">
        <v>1.5161290322580645</v>
      </c>
      <c r="P20" s="11">
        <v>2.2666666666666666</v>
      </c>
      <c r="Q20" s="11">
        <v>1.2580645161290323</v>
      </c>
      <c r="R20" s="11">
        <v>1.2333333333333334</v>
      </c>
      <c r="S20" s="10">
        <v>1.6</v>
      </c>
      <c r="T20" s="12"/>
      <c r="U20" s="10">
        <v>1.2</v>
      </c>
      <c r="V20" s="10">
        <v>1.3333333333333333</v>
      </c>
      <c r="W20" s="11">
        <v>1.1333333333333333</v>
      </c>
      <c r="X20" s="11">
        <v>1.1000000000000001</v>
      </c>
      <c r="Y20" s="11">
        <v>1.6333333333333333</v>
      </c>
      <c r="Z20" s="11">
        <v>1.3333333333333333</v>
      </c>
      <c r="AA20" s="11">
        <v>2.1666666666666665</v>
      </c>
    </row>
    <row r="21" spans="1:27" ht="15.75" x14ac:dyDescent="0.25">
      <c r="A21" s="22" t="s">
        <v>168</v>
      </c>
      <c r="B21" s="11">
        <v>1.0666666666666667</v>
      </c>
      <c r="C21" s="11">
        <v>1.6333333333333333</v>
      </c>
      <c r="D21" s="11">
        <v>1.4</v>
      </c>
      <c r="E21" s="11">
        <v>1.3666666666666667</v>
      </c>
      <c r="F21" s="11">
        <v>1.2</v>
      </c>
      <c r="G21" s="11">
        <v>4.8</v>
      </c>
      <c r="H21" s="11">
        <v>1.1333333333333333</v>
      </c>
      <c r="I21" s="11">
        <v>1.9666666666666666</v>
      </c>
      <c r="J21" s="11">
        <v>3.9</v>
      </c>
      <c r="K21" s="11">
        <v>3.8</v>
      </c>
      <c r="L21" s="11">
        <v>2.1333333333333333</v>
      </c>
      <c r="M21" s="11">
        <v>4.5</v>
      </c>
      <c r="N21" s="11">
        <v>1.0666666666666667</v>
      </c>
      <c r="O21" s="11">
        <v>1.1000000000000001</v>
      </c>
      <c r="P21" s="11">
        <v>1.1333333333333333</v>
      </c>
      <c r="Q21" s="11">
        <v>1.3333333333333333</v>
      </c>
      <c r="R21" s="11">
        <v>1.8</v>
      </c>
      <c r="S21" s="11">
        <v>3.3666666666666667</v>
      </c>
      <c r="T21" s="11">
        <v>1.2</v>
      </c>
      <c r="U21" s="12"/>
      <c r="V21" s="11">
        <v>1.6</v>
      </c>
      <c r="W21" s="11">
        <v>1.4</v>
      </c>
      <c r="X21" s="11">
        <v>1</v>
      </c>
      <c r="Y21" s="11">
        <v>1.4666666666666666</v>
      </c>
      <c r="Z21" s="11">
        <v>1.5</v>
      </c>
      <c r="AA21" s="11">
        <v>1.2666666666666666</v>
      </c>
    </row>
    <row r="22" spans="1:27" ht="15.75" x14ac:dyDescent="0.25">
      <c r="A22" s="22" t="s">
        <v>169</v>
      </c>
      <c r="B22" s="11">
        <v>2.4</v>
      </c>
      <c r="C22" s="11">
        <v>1.9333333333333333</v>
      </c>
      <c r="D22" s="11">
        <v>2.1666666666666665</v>
      </c>
      <c r="E22" s="11">
        <v>1.8333333333333333</v>
      </c>
      <c r="F22" s="11">
        <v>1.5666666666666667</v>
      </c>
      <c r="G22" s="11">
        <v>1.2666666666666666</v>
      </c>
      <c r="H22" s="11">
        <v>1.7333333333333334</v>
      </c>
      <c r="I22" s="11">
        <v>3.3333333333333335</v>
      </c>
      <c r="J22" s="11">
        <v>1.6666666666666667</v>
      </c>
      <c r="K22" s="11">
        <v>1.3</v>
      </c>
      <c r="L22" s="11">
        <v>1.2580645161290323</v>
      </c>
      <c r="M22" s="11">
        <v>1.2903225806451613</v>
      </c>
      <c r="N22" s="11">
        <v>2.2666666666666666</v>
      </c>
      <c r="O22" s="11">
        <v>4.5333333333333332</v>
      </c>
      <c r="P22" s="11">
        <v>2.8333333333333335</v>
      </c>
      <c r="Q22" s="10">
        <v>1.8</v>
      </c>
      <c r="R22" s="10">
        <v>2.2999999999999998</v>
      </c>
      <c r="S22" s="10">
        <v>1.9666666666666666</v>
      </c>
      <c r="T22" s="10">
        <v>1.3333333333333333</v>
      </c>
      <c r="U22" s="10">
        <v>1.6</v>
      </c>
      <c r="V22" s="12"/>
      <c r="W22" s="11">
        <v>4.9333333333333336</v>
      </c>
      <c r="X22" s="11">
        <v>2.7333333333333334</v>
      </c>
      <c r="Y22" s="11">
        <v>1.4</v>
      </c>
      <c r="Z22" s="11">
        <v>3.1333333333333333</v>
      </c>
      <c r="AA22" s="11">
        <v>1.5666666666666667</v>
      </c>
    </row>
    <row r="23" spans="1:27" ht="15.75" x14ac:dyDescent="0.25">
      <c r="A23" s="22" t="s">
        <v>170</v>
      </c>
      <c r="B23" s="11">
        <v>1.2333333333333334</v>
      </c>
      <c r="C23" s="11">
        <v>1.4</v>
      </c>
      <c r="D23" s="11">
        <v>1.5333333333333334</v>
      </c>
      <c r="E23" s="11">
        <v>1.5517241379310345</v>
      </c>
      <c r="F23" s="11">
        <v>1.2333333333333334</v>
      </c>
      <c r="G23" s="11">
        <v>1.2333333333333334</v>
      </c>
      <c r="H23" s="11">
        <v>1.2</v>
      </c>
      <c r="I23" s="11">
        <v>1.4</v>
      </c>
      <c r="J23" s="11">
        <v>1.6666666666666667</v>
      </c>
      <c r="K23" s="11">
        <v>1.3666666666666667</v>
      </c>
      <c r="L23" s="11">
        <v>1.9666666666666666</v>
      </c>
      <c r="M23" s="11">
        <v>1.3666666666666667</v>
      </c>
      <c r="N23" s="11">
        <v>1.3333333333333333</v>
      </c>
      <c r="O23" s="11">
        <v>1.967741935483871</v>
      </c>
      <c r="P23" s="11">
        <v>1.2666666666666666</v>
      </c>
      <c r="Q23" s="11">
        <v>1.1333333333333333</v>
      </c>
      <c r="R23" s="11">
        <v>1.2</v>
      </c>
      <c r="S23" s="11">
        <v>1.6666666666666667</v>
      </c>
      <c r="T23" s="11">
        <v>1.1333333333333333</v>
      </c>
      <c r="U23" s="11">
        <v>1.4</v>
      </c>
      <c r="V23" s="11">
        <v>4.9333333333333336</v>
      </c>
      <c r="W23" s="12"/>
      <c r="X23" s="11">
        <v>5.0333333333333332</v>
      </c>
      <c r="Y23" s="11">
        <v>2.6333333333333333</v>
      </c>
      <c r="Z23" s="11">
        <v>5.333333333333333</v>
      </c>
      <c r="AA23" s="11">
        <v>1.9666666666666666</v>
      </c>
    </row>
    <row r="24" spans="1:27" ht="15.75" x14ac:dyDescent="0.25">
      <c r="A24" s="22" t="s">
        <v>171</v>
      </c>
      <c r="B24" s="11">
        <v>1.1290322580645162</v>
      </c>
      <c r="C24" s="11">
        <v>1.1000000000000001</v>
      </c>
      <c r="D24" s="11">
        <v>1.2333333333333334</v>
      </c>
      <c r="E24" s="11">
        <v>1.0666666666666667</v>
      </c>
      <c r="F24" s="11">
        <v>1.3</v>
      </c>
      <c r="G24" s="11">
        <v>1.1333333333333333</v>
      </c>
      <c r="H24" s="11">
        <v>1.1666666666666667</v>
      </c>
      <c r="I24" s="11">
        <v>1.3</v>
      </c>
      <c r="J24" s="11">
        <v>1.3</v>
      </c>
      <c r="K24" s="11">
        <v>1.1000000000000001</v>
      </c>
      <c r="L24" s="11">
        <v>2.0666666666666669</v>
      </c>
      <c r="M24" s="11">
        <v>1.3333333333333333</v>
      </c>
      <c r="N24" s="11">
        <v>3.4</v>
      </c>
      <c r="O24" s="11">
        <v>1.6129032258064515</v>
      </c>
      <c r="P24" s="11">
        <v>1.1333333333333333</v>
      </c>
      <c r="Q24" s="11">
        <v>1.1666666666666667</v>
      </c>
      <c r="R24" s="11">
        <v>1.0333333333333334</v>
      </c>
      <c r="S24" s="11">
        <v>1.0333333333333334</v>
      </c>
      <c r="T24" s="11">
        <v>1.1000000000000001</v>
      </c>
      <c r="U24" s="11">
        <v>1</v>
      </c>
      <c r="V24" s="11">
        <v>2.7333333333333334</v>
      </c>
      <c r="W24" s="11">
        <v>5.0333333333333332</v>
      </c>
      <c r="X24" s="12"/>
      <c r="Y24" s="11">
        <v>2.2333333333333334</v>
      </c>
      <c r="Z24" s="11">
        <v>2.4333333333333331</v>
      </c>
      <c r="AA24" s="11">
        <v>1.6666666666666667</v>
      </c>
    </row>
    <row r="25" spans="1:27" ht="15.75" x14ac:dyDescent="0.25">
      <c r="A25" s="22" t="s">
        <v>172</v>
      </c>
      <c r="B25" s="11">
        <v>1.096774193548387</v>
      </c>
      <c r="C25" s="11">
        <v>1.0666666666666667</v>
      </c>
      <c r="D25" s="11">
        <v>1.2333333333333334</v>
      </c>
      <c r="E25" s="11">
        <v>1.2333333333333334</v>
      </c>
      <c r="F25" s="11">
        <v>1.3</v>
      </c>
      <c r="G25" s="11">
        <v>1.2758620689655173</v>
      </c>
      <c r="H25" s="11">
        <v>1.2</v>
      </c>
      <c r="I25" s="11">
        <v>1.2333333333333334</v>
      </c>
      <c r="J25" s="11">
        <v>1.4</v>
      </c>
      <c r="K25" s="11">
        <v>1.2580645161290323</v>
      </c>
      <c r="L25" s="11">
        <v>3.5483870967741935</v>
      </c>
      <c r="M25" s="11">
        <v>1.2666666666666666</v>
      </c>
      <c r="N25" s="11">
        <v>1.1000000000000001</v>
      </c>
      <c r="O25" s="11">
        <v>1.0333333333333334</v>
      </c>
      <c r="P25" s="11">
        <v>1.0666666666666667</v>
      </c>
      <c r="Q25" s="11">
        <v>1.1000000000000001</v>
      </c>
      <c r="R25" s="11">
        <v>1.1000000000000001</v>
      </c>
      <c r="S25" s="11">
        <v>1.4333333333333333</v>
      </c>
      <c r="T25" s="11">
        <v>1.6333333333333333</v>
      </c>
      <c r="U25" s="11">
        <v>1.4666666666666666</v>
      </c>
      <c r="V25" s="11">
        <v>1.4</v>
      </c>
      <c r="W25" s="11">
        <v>2.6333333333333333</v>
      </c>
      <c r="X25" s="11">
        <v>2.2333333333333334</v>
      </c>
      <c r="Y25" s="12"/>
      <c r="Z25" s="11">
        <v>3.1</v>
      </c>
      <c r="AA25" s="11">
        <v>1.8</v>
      </c>
    </row>
    <row r="26" spans="1:27" ht="15.75" x14ac:dyDescent="0.25">
      <c r="A26" s="22" t="s">
        <v>173</v>
      </c>
      <c r="B26" s="11">
        <v>1.0666666666666667</v>
      </c>
      <c r="C26" s="11">
        <v>1.2</v>
      </c>
      <c r="D26" s="11">
        <v>1.2903225806451613</v>
      </c>
      <c r="E26" s="11">
        <v>1.1333333333333333</v>
      </c>
      <c r="F26" s="11">
        <v>1.3666666666666667</v>
      </c>
      <c r="G26" s="11">
        <v>1.4</v>
      </c>
      <c r="H26" s="11">
        <v>2.6666666666666665</v>
      </c>
      <c r="I26" s="11">
        <v>1.5</v>
      </c>
      <c r="J26" s="11">
        <v>1.5</v>
      </c>
      <c r="K26" s="11">
        <v>2.8666666666666667</v>
      </c>
      <c r="L26" s="11">
        <v>2.0333333333333332</v>
      </c>
      <c r="M26" s="11">
        <v>1.8064516129032258</v>
      </c>
      <c r="N26" s="11">
        <v>1.2</v>
      </c>
      <c r="O26" s="11">
        <v>1.4333333333333333</v>
      </c>
      <c r="P26" s="11">
        <v>1.1666666666666667</v>
      </c>
      <c r="Q26" s="11">
        <v>1.9666666666666666</v>
      </c>
      <c r="R26" s="11">
        <v>2.0333333333333332</v>
      </c>
      <c r="S26" s="11">
        <v>1.2666666666666666</v>
      </c>
      <c r="T26" s="11">
        <v>1.3333333333333333</v>
      </c>
      <c r="U26" s="11">
        <v>1.5</v>
      </c>
      <c r="V26" s="11">
        <v>3.1333333333333333</v>
      </c>
      <c r="W26" s="11">
        <v>5.333333333333333</v>
      </c>
      <c r="X26" s="11">
        <v>2.4333333333333331</v>
      </c>
      <c r="Y26" s="11">
        <v>3.1</v>
      </c>
      <c r="Z26" s="12"/>
      <c r="AA26" s="11">
        <v>1.9333333333333333</v>
      </c>
    </row>
    <row r="27" spans="1:27" ht="15.75" x14ac:dyDescent="0.25">
      <c r="A27" s="23" t="s">
        <v>174</v>
      </c>
      <c r="B27" s="13">
        <v>1.3666666666666667</v>
      </c>
      <c r="C27" s="13">
        <v>1.1333333333333333</v>
      </c>
      <c r="D27" s="13">
        <v>1.4666666666666666</v>
      </c>
      <c r="E27" s="13">
        <v>1.2333333333333334</v>
      </c>
      <c r="F27" s="13">
        <v>1.3333333333333333</v>
      </c>
      <c r="G27" s="13">
        <v>1.3</v>
      </c>
      <c r="H27" s="13">
        <v>1.2333333333333334</v>
      </c>
      <c r="I27" s="13">
        <v>1.2</v>
      </c>
      <c r="J27" s="13">
        <v>1.1333333333333333</v>
      </c>
      <c r="K27" s="13">
        <v>1.2333333333333334</v>
      </c>
      <c r="L27" s="13">
        <v>1.5</v>
      </c>
      <c r="M27" s="13">
        <v>1.1000000000000001</v>
      </c>
      <c r="N27" s="13">
        <v>1.1000000000000001</v>
      </c>
      <c r="O27" s="13">
        <v>1.5666666666666667</v>
      </c>
      <c r="P27" s="13">
        <v>1.2666666666666666</v>
      </c>
      <c r="Q27" s="13">
        <v>1.1666666666666667</v>
      </c>
      <c r="R27" s="13">
        <v>1.1666666666666667</v>
      </c>
      <c r="S27" s="13">
        <v>1.3</v>
      </c>
      <c r="T27" s="13">
        <v>2.1666666666666665</v>
      </c>
      <c r="U27" s="13">
        <v>1.2666666666666666</v>
      </c>
      <c r="V27" s="13">
        <v>1.5666666666666667</v>
      </c>
      <c r="W27" s="13">
        <v>1.9666666666666666</v>
      </c>
      <c r="X27" s="13">
        <v>1.6666666666666667</v>
      </c>
      <c r="Y27" s="13">
        <v>1.8</v>
      </c>
      <c r="Z27" s="13">
        <v>1.9333333333333333</v>
      </c>
      <c r="AA27" s="14"/>
    </row>
  </sheetData>
  <conditionalFormatting sqref="B2:AA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workbookViewId="0">
      <selection activeCell="O9" sqref="O9"/>
    </sheetView>
  </sheetViews>
  <sheetFormatPr defaultRowHeight="15" x14ac:dyDescent="0.25"/>
  <cols>
    <col min="1" max="27" width="4.7109375" customWidth="1"/>
  </cols>
  <sheetData>
    <row r="1" spans="1:27" ht="17.25" customHeight="1" x14ac:dyDescent="0.25">
      <c r="A1" s="2"/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163</v>
      </c>
      <c r="Q1" s="2" t="s">
        <v>164</v>
      </c>
      <c r="R1" s="2" t="s">
        <v>165</v>
      </c>
      <c r="S1" s="2" t="s">
        <v>166</v>
      </c>
      <c r="T1" s="2" t="s">
        <v>167</v>
      </c>
      <c r="U1" s="2" t="s">
        <v>168</v>
      </c>
      <c r="V1" s="2" t="s">
        <v>169</v>
      </c>
      <c r="W1" s="2" t="s">
        <v>170</v>
      </c>
      <c r="X1" s="2" t="s">
        <v>171</v>
      </c>
      <c r="Y1" s="2" t="s">
        <v>172</v>
      </c>
      <c r="Z1" s="2" t="s">
        <v>173</v>
      </c>
      <c r="AA1" s="2" t="s">
        <v>174</v>
      </c>
    </row>
    <row r="2" spans="1:27" x14ac:dyDescent="0.25">
      <c r="A2" s="18" t="s">
        <v>149</v>
      </c>
      <c r="B2" s="19">
        <v>1</v>
      </c>
      <c r="C2" s="19">
        <v>0.53171000000000002</v>
      </c>
      <c r="D2" s="19">
        <v>0.61265999999999998</v>
      </c>
      <c r="E2" s="19">
        <v>0.60873999999999995</v>
      </c>
      <c r="F2" s="19">
        <v>0.69199999999999995</v>
      </c>
      <c r="G2" s="19">
        <v>0.50609000000000004</v>
      </c>
      <c r="H2" s="19">
        <v>0.57174999999999998</v>
      </c>
      <c r="I2" s="19">
        <v>0.60238000000000003</v>
      </c>
      <c r="J2" s="19">
        <v>0.54776000000000002</v>
      </c>
      <c r="K2" s="19">
        <v>0.40677999999999997</v>
      </c>
      <c r="L2" s="19">
        <v>0.45898</v>
      </c>
      <c r="M2" s="19">
        <v>0.44417000000000001</v>
      </c>
      <c r="N2" s="19">
        <v>0.56664999999999999</v>
      </c>
      <c r="O2" s="19">
        <v>0.65824000000000005</v>
      </c>
      <c r="P2" s="19">
        <v>0.62971999999999995</v>
      </c>
      <c r="Q2" s="19">
        <v>0.50365000000000004</v>
      </c>
      <c r="R2" s="19">
        <v>0.54479999999999995</v>
      </c>
      <c r="S2" s="19">
        <v>0.54122999999999999</v>
      </c>
      <c r="T2" s="19">
        <v>0.68799999999999994</v>
      </c>
      <c r="U2" s="19">
        <v>0.53136000000000005</v>
      </c>
      <c r="V2" s="19">
        <v>0.62502999999999997</v>
      </c>
      <c r="W2" s="19">
        <v>0.48692999999999997</v>
      </c>
      <c r="X2" s="19">
        <v>0.52431000000000005</v>
      </c>
      <c r="Y2" s="19">
        <v>0.54969999999999997</v>
      </c>
      <c r="Z2" s="19">
        <v>0.39704</v>
      </c>
      <c r="AA2" s="19">
        <v>0.59499000000000002</v>
      </c>
    </row>
    <row r="3" spans="1:27" x14ac:dyDescent="0.25">
      <c r="A3" s="18" t="s">
        <v>150</v>
      </c>
      <c r="B3" s="19">
        <v>0.53171000000000002</v>
      </c>
      <c r="C3" s="19">
        <v>1</v>
      </c>
      <c r="D3" s="19">
        <v>0.67608000000000001</v>
      </c>
      <c r="E3" s="19">
        <v>0.51232</v>
      </c>
      <c r="F3" s="19">
        <v>0.59591000000000005</v>
      </c>
      <c r="G3" s="19">
        <v>0.45759</v>
      </c>
      <c r="H3" s="19">
        <v>0.46543000000000001</v>
      </c>
      <c r="I3" s="19">
        <v>0.72030000000000005</v>
      </c>
      <c r="J3" s="19">
        <v>0.43959999999999999</v>
      </c>
      <c r="K3" s="19">
        <v>0.32490999999999998</v>
      </c>
      <c r="L3" s="19">
        <v>0.48964000000000002</v>
      </c>
      <c r="M3" s="19">
        <v>0.42701</v>
      </c>
      <c r="N3" s="19">
        <v>0.57840000000000003</v>
      </c>
      <c r="O3" s="19">
        <v>0.64551999999999998</v>
      </c>
      <c r="P3" s="19">
        <v>0.68471000000000004</v>
      </c>
      <c r="Q3" s="19">
        <v>0.70362000000000002</v>
      </c>
      <c r="R3" s="19">
        <v>0.47475000000000001</v>
      </c>
      <c r="S3" s="19">
        <v>0.51424000000000003</v>
      </c>
      <c r="T3" s="19">
        <v>0.61480000000000001</v>
      </c>
      <c r="U3" s="19">
        <v>0.58997999999999995</v>
      </c>
      <c r="V3" s="19">
        <v>0.57947000000000004</v>
      </c>
      <c r="W3" s="19">
        <v>0.44767000000000001</v>
      </c>
      <c r="X3" s="19">
        <v>0.51090000000000002</v>
      </c>
      <c r="Y3" s="19">
        <v>0.46084000000000003</v>
      </c>
      <c r="Z3" s="19">
        <v>0.36466999999999999</v>
      </c>
      <c r="AA3" s="19">
        <v>0.51758000000000004</v>
      </c>
    </row>
    <row r="4" spans="1:27" x14ac:dyDescent="0.25">
      <c r="A4" s="18" t="s">
        <v>151</v>
      </c>
      <c r="B4" s="19">
        <v>0.61265999999999998</v>
      </c>
      <c r="C4" s="19">
        <v>0.67608000000000001</v>
      </c>
      <c r="D4" s="19">
        <v>1</v>
      </c>
      <c r="E4" s="19">
        <v>0.66157999999999995</v>
      </c>
      <c r="F4" s="19">
        <v>0.76815</v>
      </c>
      <c r="G4" s="19">
        <v>0.50763000000000003</v>
      </c>
      <c r="H4" s="19">
        <v>0.59170999999999996</v>
      </c>
      <c r="I4" s="19">
        <v>0.56535999999999997</v>
      </c>
      <c r="J4" s="19">
        <v>0.46676000000000001</v>
      </c>
      <c r="K4" s="19">
        <v>0.33628999999999998</v>
      </c>
      <c r="L4" s="19">
        <v>0.44156000000000001</v>
      </c>
      <c r="M4" s="19">
        <v>0.39818999999999999</v>
      </c>
      <c r="N4" s="19">
        <v>0.55478000000000005</v>
      </c>
      <c r="O4" s="19">
        <v>0.60028999999999999</v>
      </c>
      <c r="P4" s="19">
        <v>0.80032000000000003</v>
      </c>
      <c r="Q4" s="19">
        <v>0.60868999999999995</v>
      </c>
      <c r="R4" s="19">
        <v>0.62026999999999999</v>
      </c>
      <c r="S4" s="19">
        <v>0.55867</v>
      </c>
      <c r="T4" s="19">
        <v>0.69425000000000003</v>
      </c>
      <c r="U4" s="19">
        <v>0.63022</v>
      </c>
      <c r="V4" s="19">
        <v>0.62348999999999999</v>
      </c>
      <c r="W4" s="19">
        <v>0.50075000000000003</v>
      </c>
      <c r="X4" s="19">
        <v>0.55069000000000001</v>
      </c>
      <c r="Y4" s="19">
        <v>0.48747000000000001</v>
      </c>
      <c r="Z4" s="19">
        <v>0.40210000000000001</v>
      </c>
      <c r="AA4" s="19">
        <v>0.60823000000000005</v>
      </c>
    </row>
    <row r="5" spans="1:27" x14ac:dyDescent="0.25">
      <c r="A5" s="18" t="s">
        <v>152</v>
      </c>
      <c r="B5" s="19">
        <v>0.60873999999999995</v>
      </c>
      <c r="C5" s="19">
        <v>0.51232</v>
      </c>
      <c r="D5" s="19">
        <v>0.66157999999999995</v>
      </c>
      <c r="E5" s="19">
        <v>1</v>
      </c>
      <c r="F5" s="19">
        <v>0.66895000000000004</v>
      </c>
      <c r="G5" s="19">
        <v>0.51654</v>
      </c>
      <c r="H5" s="19">
        <v>0.62487999999999999</v>
      </c>
      <c r="I5" s="19">
        <v>0.54235999999999995</v>
      </c>
      <c r="J5" s="19">
        <v>0.46555000000000002</v>
      </c>
      <c r="K5" s="19">
        <v>0.37790000000000001</v>
      </c>
      <c r="L5" s="19">
        <v>0.39960000000000001</v>
      </c>
      <c r="M5" s="19">
        <v>0.38741999999999999</v>
      </c>
      <c r="N5" s="19">
        <v>0.58091000000000004</v>
      </c>
      <c r="O5" s="19">
        <v>0.59199000000000002</v>
      </c>
      <c r="P5" s="19">
        <v>0.72045000000000003</v>
      </c>
      <c r="Q5" s="19">
        <v>0.48985000000000001</v>
      </c>
      <c r="R5" s="19">
        <v>0.67635000000000001</v>
      </c>
      <c r="S5" s="19">
        <v>0.49181999999999998</v>
      </c>
      <c r="T5" s="19">
        <v>0.61824999999999997</v>
      </c>
      <c r="U5" s="19">
        <v>0.47786000000000001</v>
      </c>
      <c r="V5" s="19">
        <v>0.61712</v>
      </c>
      <c r="W5" s="19">
        <v>0.43802000000000002</v>
      </c>
      <c r="X5" s="19">
        <v>0.51202000000000003</v>
      </c>
      <c r="Y5" s="19">
        <v>0.46778999999999998</v>
      </c>
      <c r="Z5" s="19">
        <v>0.38357000000000002</v>
      </c>
      <c r="AA5" s="19">
        <v>0.52841000000000005</v>
      </c>
    </row>
    <row r="6" spans="1:27" x14ac:dyDescent="0.25">
      <c r="A6" s="18" t="s">
        <v>153</v>
      </c>
      <c r="B6" s="19">
        <v>0.69199999999999995</v>
      </c>
      <c r="C6" s="19">
        <v>0.59591000000000005</v>
      </c>
      <c r="D6" s="19">
        <v>0.76815</v>
      </c>
      <c r="E6" s="19">
        <v>0.66895000000000004</v>
      </c>
      <c r="F6" s="19">
        <v>1</v>
      </c>
      <c r="G6" s="19">
        <v>0.47744999999999999</v>
      </c>
      <c r="H6" s="19">
        <v>0.59570999999999996</v>
      </c>
      <c r="I6" s="19">
        <v>0.54791000000000001</v>
      </c>
      <c r="J6" s="19">
        <v>0.48165999999999998</v>
      </c>
      <c r="K6" s="19">
        <v>0.35078999999999999</v>
      </c>
      <c r="L6" s="19">
        <v>0.40572000000000003</v>
      </c>
      <c r="M6" s="19">
        <v>0.40445999999999999</v>
      </c>
      <c r="N6" s="19">
        <v>0.53456999999999999</v>
      </c>
      <c r="O6" s="19">
        <v>0.59308000000000005</v>
      </c>
      <c r="P6" s="19">
        <v>0.78185000000000004</v>
      </c>
      <c r="Q6" s="19">
        <v>0.54008</v>
      </c>
      <c r="R6" s="19">
        <v>0.62370000000000003</v>
      </c>
      <c r="S6" s="19">
        <v>0.52010000000000001</v>
      </c>
      <c r="T6" s="19">
        <v>0.73419000000000001</v>
      </c>
      <c r="U6" s="19">
        <v>0.58948</v>
      </c>
      <c r="V6" s="19">
        <v>0.58145999999999998</v>
      </c>
      <c r="W6" s="19">
        <v>0.45251000000000002</v>
      </c>
      <c r="X6" s="19">
        <v>0.49475999999999998</v>
      </c>
      <c r="Y6" s="19">
        <v>0.47615000000000002</v>
      </c>
      <c r="Z6" s="19">
        <v>0.37724999999999997</v>
      </c>
      <c r="AA6" s="19">
        <v>0.56698999999999999</v>
      </c>
    </row>
    <row r="7" spans="1:27" x14ac:dyDescent="0.25">
      <c r="A7" s="18" t="s">
        <v>154</v>
      </c>
      <c r="B7" s="19">
        <v>0.50609000000000004</v>
      </c>
      <c r="C7" s="19">
        <v>0.45759</v>
      </c>
      <c r="D7" s="19">
        <v>0.50763000000000003</v>
      </c>
      <c r="E7" s="19">
        <v>0.51654</v>
      </c>
      <c r="F7" s="19">
        <v>0.47744999999999999</v>
      </c>
      <c r="G7" s="19">
        <v>1</v>
      </c>
      <c r="H7" s="19">
        <v>0.39656999999999998</v>
      </c>
      <c r="I7" s="19">
        <v>0.49935000000000002</v>
      </c>
      <c r="J7" s="19">
        <v>0.68084999999999996</v>
      </c>
      <c r="K7" s="19">
        <v>0.42277999999999999</v>
      </c>
      <c r="L7" s="19">
        <v>0.54954999999999998</v>
      </c>
      <c r="M7" s="19">
        <v>0.60982000000000003</v>
      </c>
      <c r="N7" s="19">
        <v>0.55037000000000003</v>
      </c>
      <c r="O7" s="19">
        <v>0.53217000000000003</v>
      </c>
      <c r="P7" s="19">
        <v>0.45049</v>
      </c>
      <c r="Q7" s="19">
        <v>0.41008</v>
      </c>
      <c r="R7" s="19">
        <v>0.41071000000000002</v>
      </c>
      <c r="S7" s="19">
        <v>0.69632000000000005</v>
      </c>
      <c r="T7" s="19">
        <v>0.51851000000000003</v>
      </c>
      <c r="U7" s="19">
        <v>0.62007000000000001</v>
      </c>
      <c r="V7" s="19">
        <v>0.52337999999999996</v>
      </c>
      <c r="W7" s="19">
        <v>0.47516999999999998</v>
      </c>
      <c r="X7" s="19">
        <v>0.46444000000000002</v>
      </c>
      <c r="Y7" s="19">
        <v>0.54557</v>
      </c>
      <c r="Z7" s="19">
        <v>0.40405000000000002</v>
      </c>
      <c r="AA7" s="19">
        <v>0.58081000000000005</v>
      </c>
    </row>
    <row r="8" spans="1:27" x14ac:dyDescent="0.25">
      <c r="A8" s="18" t="s">
        <v>155</v>
      </c>
      <c r="B8" s="19">
        <v>0.57174999999999998</v>
      </c>
      <c r="C8" s="19">
        <v>0.46543000000000001</v>
      </c>
      <c r="D8" s="19">
        <v>0.59170999999999996</v>
      </c>
      <c r="E8" s="19">
        <v>0.62487999999999999</v>
      </c>
      <c r="F8" s="19">
        <v>0.59570999999999996</v>
      </c>
      <c r="G8" s="19">
        <v>0.39656999999999998</v>
      </c>
      <c r="H8" s="19">
        <v>1</v>
      </c>
      <c r="I8" s="19">
        <v>0.50566</v>
      </c>
      <c r="J8" s="19">
        <v>0.39504</v>
      </c>
      <c r="K8" s="19">
        <v>0.4914</v>
      </c>
      <c r="L8" s="19">
        <v>0.37222</v>
      </c>
      <c r="M8" s="19">
        <v>0.31553999999999999</v>
      </c>
      <c r="N8" s="19">
        <v>0.53212999999999999</v>
      </c>
      <c r="O8" s="19">
        <v>0.55212000000000006</v>
      </c>
      <c r="P8" s="19">
        <v>0.62429999999999997</v>
      </c>
      <c r="Q8" s="19">
        <v>0.55857000000000001</v>
      </c>
      <c r="R8" s="19">
        <v>0.74002000000000001</v>
      </c>
      <c r="S8" s="19">
        <v>0.44475999999999999</v>
      </c>
      <c r="T8" s="19">
        <v>0.56084000000000001</v>
      </c>
      <c r="U8" s="19">
        <v>0.44178000000000001</v>
      </c>
      <c r="V8" s="19">
        <v>0.56911999999999996</v>
      </c>
      <c r="W8" s="19">
        <v>0.48136000000000001</v>
      </c>
      <c r="X8" s="19">
        <v>0.52446000000000004</v>
      </c>
      <c r="Y8" s="19">
        <v>0.43151</v>
      </c>
      <c r="Z8" s="19">
        <v>0.53566999999999998</v>
      </c>
      <c r="AA8" s="19">
        <v>0.50104000000000004</v>
      </c>
    </row>
    <row r="9" spans="1:27" x14ac:dyDescent="0.25">
      <c r="A9" s="18" t="s">
        <v>156</v>
      </c>
      <c r="B9" s="19">
        <v>0.60238000000000003</v>
      </c>
      <c r="C9" s="19">
        <v>0.72030000000000005</v>
      </c>
      <c r="D9" s="19">
        <v>0.56535999999999997</v>
      </c>
      <c r="E9" s="19">
        <v>0.54235999999999995</v>
      </c>
      <c r="F9" s="19">
        <v>0.54791000000000001</v>
      </c>
      <c r="G9" s="19">
        <v>0.49935000000000002</v>
      </c>
      <c r="H9" s="19">
        <v>0.50566</v>
      </c>
      <c r="I9" s="19">
        <v>1</v>
      </c>
      <c r="J9" s="19">
        <v>0.50800999999999996</v>
      </c>
      <c r="K9" s="19">
        <v>0.37234</v>
      </c>
      <c r="L9" s="19">
        <v>0.60070999999999997</v>
      </c>
      <c r="M9" s="19">
        <v>0.50022</v>
      </c>
      <c r="N9" s="19">
        <v>0.60163</v>
      </c>
      <c r="O9" s="19">
        <v>0.86536000000000002</v>
      </c>
      <c r="P9" s="19">
        <v>0.55327000000000004</v>
      </c>
      <c r="Q9" s="19">
        <v>0.52083999999999997</v>
      </c>
      <c r="R9" s="19">
        <v>0.49170000000000003</v>
      </c>
      <c r="S9" s="19">
        <v>0.56001999999999996</v>
      </c>
      <c r="T9" s="19">
        <v>0.59692999999999996</v>
      </c>
      <c r="U9" s="19">
        <v>0.57643999999999995</v>
      </c>
      <c r="V9" s="19">
        <v>0.72230000000000005</v>
      </c>
      <c r="W9" s="19">
        <v>0.47355000000000003</v>
      </c>
      <c r="X9" s="19">
        <v>0.53396999999999994</v>
      </c>
      <c r="Y9" s="19">
        <v>0.54542999999999997</v>
      </c>
      <c r="Z9" s="19">
        <v>0.38401000000000002</v>
      </c>
      <c r="AA9" s="19">
        <v>0.55791000000000002</v>
      </c>
    </row>
    <row r="10" spans="1:27" x14ac:dyDescent="0.25">
      <c r="A10" s="18" t="s">
        <v>157</v>
      </c>
      <c r="B10" s="19">
        <v>0.54776000000000002</v>
      </c>
      <c r="C10" s="19">
        <v>0.43959999999999999</v>
      </c>
      <c r="D10" s="19">
        <v>0.46676000000000001</v>
      </c>
      <c r="E10" s="19">
        <v>0.46555000000000002</v>
      </c>
      <c r="F10" s="19">
        <v>0.48165999999999998</v>
      </c>
      <c r="G10" s="19">
        <v>0.68084999999999996</v>
      </c>
      <c r="H10" s="19">
        <v>0.39504</v>
      </c>
      <c r="I10" s="19">
        <v>0.50800999999999996</v>
      </c>
      <c r="J10" s="19">
        <v>1</v>
      </c>
      <c r="K10" s="19">
        <v>0.47214</v>
      </c>
      <c r="L10" s="19">
        <v>0.50895000000000001</v>
      </c>
      <c r="M10" s="19">
        <v>0.81498000000000004</v>
      </c>
      <c r="N10" s="19">
        <v>0.57677999999999996</v>
      </c>
      <c r="O10" s="19">
        <v>0.54107000000000005</v>
      </c>
      <c r="P10" s="19">
        <v>0.44962000000000002</v>
      </c>
      <c r="Q10" s="19">
        <v>0.39895999999999998</v>
      </c>
      <c r="R10" s="19">
        <v>0.38868999999999998</v>
      </c>
      <c r="S10" s="19">
        <v>0.62771999999999994</v>
      </c>
      <c r="T10" s="19">
        <v>0.51412999999999998</v>
      </c>
      <c r="U10" s="19">
        <v>0.53900999999999999</v>
      </c>
      <c r="V10" s="19">
        <v>0.49115999999999999</v>
      </c>
      <c r="W10" s="19">
        <v>0.42987999999999998</v>
      </c>
      <c r="X10" s="19">
        <v>0.43631999999999999</v>
      </c>
      <c r="Y10" s="19">
        <v>0.54357999999999995</v>
      </c>
      <c r="Z10" s="19">
        <v>0.36225000000000002</v>
      </c>
      <c r="AA10" s="19">
        <v>0.55510000000000004</v>
      </c>
    </row>
    <row r="11" spans="1:27" x14ac:dyDescent="0.25">
      <c r="A11" s="18" t="s">
        <v>158</v>
      </c>
      <c r="B11" s="19">
        <v>0.40677999999999997</v>
      </c>
      <c r="C11" s="19">
        <v>0.32490999999999998</v>
      </c>
      <c r="D11" s="19">
        <v>0.33628999999999998</v>
      </c>
      <c r="E11" s="19">
        <v>0.37790000000000001</v>
      </c>
      <c r="F11" s="19">
        <v>0.35078999999999999</v>
      </c>
      <c r="G11" s="19">
        <v>0.42277999999999999</v>
      </c>
      <c r="H11" s="19">
        <v>0.4914</v>
      </c>
      <c r="I11" s="19">
        <v>0.37234</v>
      </c>
      <c r="J11" s="19">
        <v>0.47214</v>
      </c>
      <c r="K11" s="19">
        <v>1</v>
      </c>
      <c r="L11" s="19">
        <v>0.30243999999999999</v>
      </c>
      <c r="M11" s="19">
        <v>0.35604000000000002</v>
      </c>
      <c r="N11" s="19">
        <v>0.40473999999999999</v>
      </c>
      <c r="O11" s="19">
        <v>0.42842000000000002</v>
      </c>
      <c r="P11" s="19">
        <v>0.33975</v>
      </c>
      <c r="Q11" s="19">
        <v>0.46322999999999998</v>
      </c>
      <c r="R11" s="19">
        <v>0.38463000000000003</v>
      </c>
      <c r="S11" s="19">
        <v>0.35665000000000002</v>
      </c>
      <c r="T11" s="19">
        <v>0.37123</v>
      </c>
      <c r="U11" s="19">
        <v>0.39779999999999999</v>
      </c>
      <c r="V11" s="19">
        <v>0.4108</v>
      </c>
      <c r="W11" s="19">
        <v>0.42258000000000001</v>
      </c>
      <c r="X11" s="19">
        <v>0.40554000000000001</v>
      </c>
      <c r="Y11" s="19">
        <v>0.37526999999999999</v>
      </c>
      <c r="Z11" s="19">
        <v>0.55679000000000001</v>
      </c>
      <c r="AA11" s="19">
        <v>0.38318999999999998</v>
      </c>
    </row>
    <row r="12" spans="1:27" x14ac:dyDescent="0.25">
      <c r="A12" s="18" t="s">
        <v>159</v>
      </c>
      <c r="B12" s="19">
        <v>0.45898</v>
      </c>
      <c r="C12" s="19">
        <v>0.48964000000000002</v>
      </c>
      <c r="D12" s="19">
        <v>0.44156000000000001</v>
      </c>
      <c r="E12" s="19">
        <v>0.39960000000000001</v>
      </c>
      <c r="F12" s="19">
        <v>0.40572000000000003</v>
      </c>
      <c r="G12" s="19">
        <v>0.54954999999999998</v>
      </c>
      <c r="H12" s="19">
        <v>0.37222</v>
      </c>
      <c r="I12" s="19">
        <v>0.60070999999999997</v>
      </c>
      <c r="J12" s="19">
        <v>0.50895000000000001</v>
      </c>
      <c r="K12" s="19">
        <v>0.30243999999999999</v>
      </c>
      <c r="L12" s="19">
        <v>1</v>
      </c>
      <c r="M12" s="19">
        <v>0.53571999999999997</v>
      </c>
      <c r="N12" s="19">
        <v>0.50244999999999995</v>
      </c>
      <c r="O12" s="19">
        <v>0.52768000000000004</v>
      </c>
      <c r="P12" s="19">
        <v>0.37145</v>
      </c>
      <c r="Q12" s="19">
        <v>0.35609000000000002</v>
      </c>
      <c r="R12" s="19">
        <v>0.35420000000000001</v>
      </c>
      <c r="S12" s="19">
        <v>0.58086000000000004</v>
      </c>
      <c r="T12" s="19">
        <v>0.46973999999999999</v>
      </c>
      <c r="U12" s="19">
        <v>0.61995</v>
      </c>
      <c r="V12" s="19">
        <v>0.53288000000000002</v>
      </c>
      <c r="W12" s="19">
        <v>0.45358999999999999</v>
      </c>
      <c r="X12" s="19">
        <v>0.52375000000000005</v>
      </c>
      <c r="Y12" s="19">
        <v>0.62824999999999998</v>
      </c>
      <c r="Z12" s="19">
        <v>0.38556000000000001</v>
      </c>
      <c r="AA12" s="19">
        <v>0.52171000000000001</v>
      </c>
    </row>
    <row r="13" spans="1:27" x14ac:dyDescent="0.25">
      <c r="A13" s="18" t="s">
        <v>160</v>
      </c>
      <c r="B13" s="19">
        <v>0.44417000000000001</v>
      </c>
      <c r="C13" s="19">
        <v>0.42701</v>
      </c>
      <c r="D13" s="19">
        <v>0.39818999999999999</v>
      </c>
      <c r="E13" s="19">
        <v>0.38741999999999999</v>
      </c>
      <c r="F13" s="19">
        <v>0.40445999999999999</v>
      </c>
      <c r="G13" s="19">
        <v>0.60982000000000003</v>
      </c>
      <c r="H13" s="19">
        <v>0.31553999999999999</v>
      </c>
      <c r="I13" s="19">
        <v>0.50022</v>
      </c>
      <c r="J13" s="19">
        <v>0.81498000000000004</v>
      </c>
      <c r="K13" s="19">
        <v>0.35604000000000002</v>
      </c>
      <c r="L13" s="19">
        <v>0.53571999999999997</v>
      </c>
      <c r="M13" s="19">
        <v>1</v>
      </c>
      <c r="N13" s="19">
        <v>0.51129999999999998</v>
      </c>
      <c r="O13" s="19">
        <v>0.46775</v>
      </c>
      <c r="P13" s="19">
        <v>0.36649999999999999</v>
      </c>
      <c r="Q13" s="19">
        <v>0.31885000000000002</v>
      </c>
      <c r="R13" s="19">
        <v>0.31273000000000001</v>
      </c>
      <c r="S13" s="19">
        <v>0.56415000000000004</v>
      </c>
      <c r="T13" s="19">
        <v>0.42180000000000001</v>
      </c>
      <c r="U13" s="19">
        <v>0.47576000000000002</v>
      </c>
      <c r="V13" s="19">
        <v>0.41987999999999998</v>
      </c>
      <c r="W13" s="19">
        <v>0.33040999999999998</v>
      </c>
      <c r="X13" s="19">
        <v>0.35854999999999998</v>
      </c>
      <c r="Y13" s="19">
        <v>0.46966000000000002</v>
      </c>
      <c r="Z13" s="19">
        <v>0.27377000000000001</v>
      </c>
      <c r="AA13" s="19">
        <v>0.44824000000000003</v>
      </c>
    </row>
    <row r="14" spans="1:27" x14ac:dyDescent="0.25">
      <c r="A14" s="18" t="s">
        <v>161</v>
      </c>
      <c r="B14" s="19">
        <v>0.56664999999999999</v>
      </c>
      <c r="C14" s="19">
        <v>0.57840000000000003</v>
      </c>
      <c r="D14" s="19">
        <v>0.55478000000000005</v>
      </c>
      <c r="E14" s="19">
        <v>0.58091000000000004</v>
      </c>
      <c r="F14" s="19">
        <v>0.53456999999999999</v>
      </c>
      <c r="G14" s="19">
        <v>0.55037000000000003</v>
      </c>
      <c r="H14" s="19">
        <v>0.53212999999999999</v>
      </c>
      <c r="I14" s="19">
        <v>0.60163</v>
      </c>
      <c r="J14" s="19">
        <v>0.57677999999999996</v>
      </c>
      <c r="K14" s="19">
        <v>0.40473999999999999</v>
      </c>
      <c r="L14" s="19">
        <v>0.50244999999999995</v>
      </c>
      <c r="M14" s="19">
        <v>0.51129999999999998</v>
      </c>
      <c r="N14" s="19">
        <v>1</v>
      </c>
      <c r="O14" s="19">
        <v>0.65739999999999998</v>
      </c>
      <c r="P14" s="19">
        <v>0.56752999999999998</v>
      </c>
      <c r="Q14" s="19">
        <v>0.53242</v>
      </c>
      <c r="R14" s="19">
        <v>0.51461999999999997</v>
      </c>
      <c r="S14" s="19">
        <v>0.63402999999999998</v>
      </c>
      <c r="T14" s="19">
        <v>0.53405999999999998</v>
      </c>
      <c r="U14" s="19">
        <v>0.52673999999999999</v>
      </c>
      <c r="V14" s="19">
        <v>0.63712000000000002</v>
      </c>
      <c r="W14" s="19">
        <v>0.53442000000000001</v>
      </c>
      <c r="X14" s="19">
        <v>0.62126999999999999</v>
      </c>
      <c r="Y14" s="19">
        <v>0.54867999999999995</v>
      </c>
      <c r="Z14" s="19">
        <v>0.43481999999999998</v>
      </c>
      <c r="AA14" s="19">
        <v>0.52219000000000004</v>
      </c>
    </row>
    <row r="15" spans="1:27" x14ac:dyDescent="0.25">
      <c r="A15" s="18" t="s">
        <v>162</v>
      </c>
      <c r="B15" s="19">
        <v>0.65824000000000005</v>
      </c>
      <c r="C15" s="19">
        <v>0.64551999999999998</v>
      </c>
      <c r="D15" s="19">
        <v>0.60028999999999999</v>
      </c>
      <c r="E15" s="19">
        <v>0.59199000000000002</v>
      </c>
      <c r="F15" s="19">
        <v>0.59308000000000005</v>
      </c>
      <c r="G15" s="19">
        <v>0.53217000000000003</v>
      </c>
      <c r="H15" s="19">
        <v>0.55212000000000006</v>
      </c>
      <c r="I15" s="19">
        <v>0.86536000000000002</v>
      </c>
      <c r="J15" s="19">
        <v>0.54107000000000005</v>
      </c>
      <c r="K15" s="19">
        <v>0.42842000000000002</v>
      </c>
      <c r="L15" s="19">
        <v>0.52768000000000004</v>
      </c>
      <c r="M15" s="19">
        <v>0.46775</v>
      </c>
      <c r="N15" s="19">
        <v>0.65739999999999998</v>
      </c>
      <c r="O15" s="19">
        <v>1</v>
      </c>
      <c r="P15" s="19">
        <v>0.60775000000000001</v>
      </c>
      <c r="Q15" s="19">
        <v>0.58982000000000001</v>
      </c>
      <c r="R15" s="19">
        <v>0.53866999999999998</v>
      </c>
      <c r="S15" s="19">
        <v>0.62334000000000001</v>
      </c>
      <c r="T15" s="19">
        <v>0.63317999999999997</v>
      </c>
      <c r="U15" s="19">
        <v>0.60109999999999997</v>
      </c>
      <c r="V15" s="19">
        <v>0.80698000000000003</v>
      </c>
      <c r="W15" s="19">
        <v>0.55017000000000005</v>
      </c>
      <c r="X15" s="19">
        <v>0.60192000000000001</v>
      </c>
      <c r="Y15" s="19">
        <v>0.62949999999999995</v>
      </c>
      <c r="Z15" s="19">
        <v>0.45633000000000001</v>
      </c>
      <c r="AA15" s="19">
        <v>0.59164000000000005</v>
      </c>
    </row>
    <row r="16" spans="1:27" x14ac:dyDescent="0.25">
      <c r="A16" s="18" t="s">
        <v>163</v>
      </c>
      <c r="B16" s="19">
        <v>0.62971999999999995</v>
      </c>
      <c r="C16" s="19">
        <v>0.68471000000000004</v>
      </c>
      <c r="D16" s="19">
        <v>0.80032000000000003</v>
      </c>
      <c r="E16" s="19">
        <v>0.72045000000000003</v>
      </c>
      <c r="F16" s="19">
        <v>0.78185000000000004</v>
      </c>
      <c r="G16" s="19">
        <v>0.45049</v>
      </c>
      <c r="H16" s="19">
        <v>0.62429999999999997</v>
      </c>
      <c r="I16" s="19">
        <v>0.55327000000000004</v>
      </c>
      <c r="J16" s="19">
        <v>0.44962000000000002</v>
      </c>
      <c r="K16" s="19">
        <v>0.33975</v>
      </c>
      <c r="L16" s="19">
        <v>0.37145</v>
      </c>
      <c r="M16" s="19">
        <v>0.36649999999999999</v>
      </c>
      <c r="N16" s="19">
        <v>0.56752999999999998</v>
      </c>
      <c r="O16" s="19">
        <v>0.60775000000000001</v>
      </c>
      <c r="P16" s="19">
        <v>1</v>
      </c>
      <c r="Q16" s="19">
        <v>0.65776000000000001</v>
      </c>
      <c r="R16" s="19">
        <v>0.66051000000000004</v>
      </c>
      <c r="S16" s="19">
        <v>0.50641000000000003</v>
      </c>
      <c r="T16" s="19">
        <v>0.70865999999999996</v>
      </c>
      <c r="U16" s="19">
        <v>0.55962000000000001</v>
      </c>
      <c r="V16" s="19">
        <v>0.60128999999999999</v>
      </c>
      <c r="W16" s="19">
        <v>0.49754999999999999</v>
      </c>
      <c r="X16" s="19">
        <v>0.54973000000000005</v>
      </c>
      <c r="Y16" s="19">
        <v>0.44792999999999999</v>
      </c>
      <c r="Z16" s="19">
        <v>0.39616000000000001</v>
      </c>
      <c r="AA16" s="19">
        <v>0.57359000000000004</v>
      </c>
    </row>
    <row r="17" spans="1:27" x14ac:dyDescent="0.25">
      <c r="A17" s="18" t="s">
        <v>164</v>
      </c>
      <c r="B17" s="19">
        <v>0.50365000000000004</v>
      </c>
      <c r="C17" s="19">
        <v>0.70362000000000002</v>
      </c>
      <c r="D17" s="19">
        <v>0.60868999999999995</v>
      </c>
      <c r="E17" s="19">
        <v>0.48985000000000001</v>
      </c>
      <c r="F17" s="19">
        <v>0.54008</v>
      </c>
      <c r="G17" s="19">
        <v>0.41008</v>
      </c>
      <c r="H17" s="19">
        <v>0.55857000000000001</v>
      </c>
      <c r="I17" s="19">
        <v>0.52083999999999997</v>
      </c>
      <c r="J17" s="19">
        <v>0.39895999999999998</v>
      </c>
      <c r="K17" s="19">
        <v>0.46322999999999998</v>
      </c>
      <c r="L17" s="19">
        <v>0.35609000000000002</v>
      </c>
      <c r="M17" s="19">
        <v>0.31885000000000002</v>
      </c>
      <c r="N17" s="19">
        <v>0.53242</v>
      </c>
      <c r="O17" s="19">
        <v>0.58982000000000001</v>
      </c>
      <c r="P17" s="19">
        <v>0.65776000000000001</v>
      </c>
      <c r="Q17" s="19">
        <v>1</v>
      </c>
      <c r="R17" s="19">
        <v>0.49840000000000001</v>
      </c>
      <c r="S17" s="19">
        <v>0.48150999999999999</v>
      </c>
      <c r="T17" s="19">
        <v>0.57669999999999999</v>
      </c>
      <c r="U17" s="19">
        <v>0.53002000000000005</v>
      </c>
      <c r="V17" s="19">
        <v>0.57408999999999999</v>
      </c>
      <c r="W17" s="19">
        <v>0.49110999999999999</v>
      </c>
      <c r="X17" s="19">
        <v>0.53452</v>
      </c>
      <c r="Y17" s="19">
        <v>0.42386000000000001</v>
      </c>
      <c r="Z17" s="19">
        <v>0.52134999999999998</v>
      </c>
      <c r="AA17" s="19">
        <v>0.4869</v>
      </c>
    </row>
    <row r="18" spans="1:27" x14ac:dyDescent="0.25">
      <c r="A18" s="18" t="s">
        <v>165</v>
      </c>
      <c r="B18" s="19">
        <v>0.54479999999999995</v>
      </c>
      <c r="C18" s="19">
        <v>0.47475000000000001</v>
      </c>
      <c r="D18" s="19">
        <v>0.62026999999999999</v>
      </c>
      <c r="E18" s="19">
        <v>0.67635000000000001</v>
      </c>
      <c r="F18" s="19">
        <v>0.62370000000000003</v>
      </c>
      <c r="G18" s="19">
        <v>0.41071000000000002</v>
      </c>
      <c r="H18" s="19">
        <v>0.74002000000000001</v>
      </c>
      <c r="I18" s="19">
        <v>0.49170000000000003</v>
      </c>
      <c r="J18" s="19">
        <v>0.38868999999999998</v>
      </c>
      <c r="K18" s="19">
        <v>0.38463000000000003</v>
      </c>
      <c r="L18" s="19">
        <v>0.35420000000000001</v>
      </c>
      <c r="M18" s="19">
        <v>0.31273000000000001</v>
      </c>
      <c r="N18" s="19">
        <v>0.51461999999999997</v>
      </c>
      <c r="O18" s="19">
        <v>0.53866999999999998</v>
      </c>
      <c r="P18" s="19">
        <v>0.66051000000000004</v>
      </c>
      <c r="Q18" s="19">
        <v>0.49840000000000001</v>
      </c>
      <c r="R18" s="19">
        <v>1</v>
      </c>
      <c r="S18" s="19">
        <v>0.44366</v>
      </c>
      <c r="T18" s="19">
        <v>0.55184</v>
      </c>
      <c r="U18" s="19">
        <v>0.44223000000000001</v>
      </c>
      <c r="V18" s="19">
        <v>0.56408000000000003</v>
      </c>
      <c r="W18" s="19">
        <v>0.48953999999999998</v>
      </c>
      <c r="X18" s="19">
        <v>0.53695000000000004</v>
      </c>
      <c r="Y18" s="19">
        <v>0.41117999999999999</v>
      </c>
      <c r="Z18" s="19">
        <v>0.50960000000000005</v>
      </c>
      <c r="AA18" s="19">
        <v>0.50570000000000004</v>
      </c>
    </row>
    <row r="19" spans="1:27" x14ac:dyDescent="0.25">
      <c r="A19" s="18" t="s">
        <v>166</v>
      </c>
      <c r="B19" s="19">
        <v>0.54122999999999999</v>
      </c>
      <c r="C19" s="19">
        <v>0.51424000000000003</v>
      </c>
      <c r="D19" s="19">
        <v>0.55867</v>
      </c>
      <c r="E19" s="19">
        <v>0.49181999999999998</v>
      </c>
      <c r="F19" s="19">
        <v>0.52010000000000001</v>
      </c>
      <c r="G19" s="19">
        <v>0.69632000000000005</v>
      </c>
      <c r="H19" s="19">
        <v>0.44475999999999999</v>
      </c>
      <c r="I19" s="19">
        <v>0.56001999999999996</v>
      </c>
      <c r="J19" s="19">
        <v>0.62771999999999994</v>
      </c>
      <c r="K19" s="19">
        <v>0.35665000000000002</v>
      </c>
      <c r="L19" s="19">
        <v>0.58086000000000004</v>
      </c>
      <c r="M19" s="19">
        <v>0.56415000000000004</v>
      </c>
      <c r="N19" s="19">
        <v>0.63402999999999998</v>
      </c>
      <c r="O19" s="19">
        <v>0.62334000000000001</v>
      </c>
      <c r="P19" s="19">
        <v>0.50641000000000003</v>
      </c>
      <c r="Q19" s="19">
        <v>0.48150999999999999</v>
      </c>
      <c r="R19" s="19">
        <v>0.44366</v>
      </c>
      <c r="S19" s="19">
        <v>1</v>
      </c>
      <c r="T19" s="19">
        <v>0.57220000000000004</v>
      </c>
      <c r="U19" s="19">
        <v>0.59892000000000001</v>
      </c>
      <c r="V19" s="19">
        <v>0.59684999999999999</v>
      </c>
      <c r="W19" s="19">
        <v>0.54205000000000003</v>
      </c>
      <c r="X19" s="19">
        <v>0.55715999999999999</v>
      </c>
      <c r="Y19" s="19">
        <v>0.64473999999999998</v>
      </c>
      <c r="Z19" s="19">
        <v>0.43831999999999999</v>
      </c>
      <c r="AA19" s="19">
        <v>0.63360000000000005</v>
      </c>
    </row>
    <row r="20" spans="1:27" x14ac:dyDescent="0.25">
      <c r="A20" s="18" t="s">
        <v>167</v>
      </c>
      <c r="B20" s="19">
        <v>0.68799999999999994</v>
      </c>
      <c r="C20" s="19">
        <v>0.61480000000000001</v>
      </c>
      <c r="D20" s="19">
        <v>0.69425000000000003</v>
      </c>
      <c r="E20" s="19">
        <v>0.61824999999999997</v>
      </c>
      <c r="F20" s="19">
        <v>0.73419000000000001</v>
      </c>
      <c r="G20" s="19">
        <v>0.51851000000000003</v>
      </c>
      <c r="H20" s="19">
        <v>0.56084000000000001</v>
      </c>
      <c r="I20" s="19">
        <v>0.59692999999999996</v>
      </c>
      <c r="J20" s="19">
        <v>0.51412999999999998</v>
      </c>
      <c r="K20" s="19">
        <v>0.37123</v>
      </c>
      <c r="L20" s="19">
        <v>0.46973999999999999</v>
      </c>
      <c r="M20" s="19">
        <v>0.42180000000000001</v>
      </c>
      <c r="N20" s="19">
        <v>0.53405999999999998</v>
      </c>
      <c r="O20" s="19">
        <v>0.63317999999999997</v>
      </c>
      <c r="P20" s="19">
        <v>0.70865999999999996</v>
      </c>
      <c r="Q20" s="19">
        <v>0.57669999999999999</v>
      </c>
      <c r="R20" s="19">
        <v>0.55184</v>
      </c>
      <c r="S20" s="19">
        <v>0.57220000000000004</v>
      </c>
      <c r="T20" s="19">
        <v>1</v>
      </c>
      <c r="U20" s="19">
        <v>0.57216999999999996</v>
      </c>
      <c r="V20" s="19">
        <v>0.63024999999999998</v>
      </c>
      <c r="W20" s="19">
        <v>0.52276999999999996</v>
      </c>
      <c r="X20" s="19">
        <v>0.53874</v>
      </c>
      <c r="Y20" s="19">
        <v>0.55718999999999996</v>
      </c>
      <c r="Z20" s="19">
        <v>0.42653999999999997</v>
      </c>
      <c r="AA20" s="19">
        <v>0.66540999999999995</v>
      </c>
    </row>
    <row r="21" spans="1:27" x14ac:dyDescent="0.25">
      <c r="A21" s="18" t="s">
        <v>168</v>
      </c>
      <c r="B21" s="19">
        <v>0.53136000000000005</v>
      </c>
      <c r="C21" s="19">
        <v>0.58997999999999995</v>
      </c>
      <c r="D21" s="19">
        <v>0.63022</v>
      </c>
      <c r="E21" s="19">
        <v>0.47786000000000001</v>
      </c>
      <c r="F21" s="19">
        <v>0.58948</v>
      </c>
      <c r="G21" s="19">
        <v>0.62007000000000001</v>
      </c>
      <c r="H21" s="19">
        <v>0.44178000000000001</v>
      </c>
      <c r="I21" s="19">
        <v>0.57643999999999995</v>
      </c>
      <c r="J21" s="19">
        <v>0.53900999999999999</v>
      </c>
      <c r="K21" s="19">
        <v>0.39779999999999999</v>
      </c>
      <c r="L21" s="19">
        <v>0.61995</v>
      </c>
      <c r="M21" s="19">
        <v>0.47576000000000002</v>
      </c>
      <c r="N21" s="19">
        <v>0.52673999999999999</v>
      </c>
      <c r="O21" s="19">
        <v>0.60109999999999997</v>
      </c>
      <c r="P21" s="19">
        <v>0.55962000000000001</v>
      </c>
      <c r="Q21" s="19">
        <v>0.53002000000000005</v>
      </c>
      <c r="R21" s="19">
        <v>0.44223000000000001</v>
      </c>
      <c r="S21" s="19">
        <v>0.59892000000000001</v>
      </c>
      <c r="T21" s="19">
        <v>0.57216999999999996</v>
      </c>
      <c r="U21" s="19">
        <v>1</v>
      </c>
      <c r="V21" s="19">
        <v>0.63107999999999997</v>
      </c>
      <c r="W21" s="19">
        <v>0.55689</v>
      </c>
      <c r="X21" s="19">
        <v>0.55386999999999997</v>
      </c>
      <c r="Y21" s="19">
        <v>0.54590000000000005</v>
      </c>
      <c r="Z21" s="19">
        <v>0.45172000000000001</v>
      </c>
      <c r="AA21" s="19">
        <v>0.59392999999999996</v>
      </c>
    </row>
    <row r="22" spans="1:27" x14ac:dyDescent="0.25">
      <c r="A22" s="18" t="s">
        <v>169</v>
      </c>
      <c r="B22" s="19">
        <v>0.62502999999999997</v>
      </c>
      <c r="C22" s="19">
        <v>0.57947000000000004</v>
      </c>
      <c r="D22" s="19">
        <v>0.62348999999999999</v>
      </c>
      <c r="E22" s="19">
        <v>0.61712</v>
      </c>
      <c r="F22" s="19">
        <v>0.58145999999999998</v>
      </c>
      <c r="G22" s="19">
        <v>0.52337999999999996</v>
      </c>
      <c r="H22" s="19">
        <v>0.56911999999999996</v>
      </c>
      <c r="I22" s="19">
        <v>0.72230000000000005</v>
      </c>
      <c r="J22" s="19">
        <v>0.49115999999999999</v>
      </c>
      <c r="K22" s="19">
        <v>0.4108</v>
      </c>
      <c r="L22" s="19">
        <v>0.53288000000000002</v>
      </c>
      <c r="M22" s="19">
        <v>0.41987999999999998</v>
      </c>
      <c r="N22" s="19">
        <v>0.63712000000000002</v>
      </c>
      <c r="O22" s="19">
        <v>0.80698000000000003</v>
      </c>
      <c r="P22" s="19">
        <v>0.60128999999999999</v>
      </c>
      <c r="Q22" s="19">
        <v>0.57408999999999999</v>
      </c>
      <c r="R22" s="19">
        <v>0.56408000000000003</v>
      </c>
      <c r="S22" s="19">
        <v>0.59684999999999999</v>
      </c>
      <c r="T22" s="19">
        <v>0.63024999999999998</v>
      </c>
      <c r="U22" s="19">
        <v>0.63107999999999997</v>
      </c>
      <c r="V22" s="19">
        <v>1</v>
      </c>
      <c r="W22" s="19">
        <v>0.60551999999999995</v>
      </c>
      <c r="X22" s="19">
        <v>0.64917000000000002</v>
      </c>
      <c r="Y22" s="19">
        <v>0.55681999999999998</v>
      </c>
      <c r="Z22" s="19">
        <v>0.47397</v>
      </c>
      <c r="AA22" s="19">
        <v>0.60345000000000004</v>
      </c>
    </row>
    <row r="23" spans="1:27" x14ac:dyDescent="0.25">
      <c r="A23" s="18" t="s">
        <v>170</v>
      </c>
      <c r="B23" s="19">
        <v>0.48692999999999997</v>
      </c>
      <c r="C23" s="19">
        <v>0.44767000000000001</v>
      </c>
      <c r="D23" s="19">
        <v>0.50075000000000003</v>
      </c>
      <c r="E23" s="19">
        <v>0.43802000000000002</v>
      </c>
      <c r="F23" s="19">
        <v>0.45251000000000002</v>
      </c>
      <c r="G23" s="19">
        <v>0.47516999999999998</v>
      </c>
      <c r="H23" s="19">
        <v>0.48136000000000001</v>
      </c>
      <c r="I23" s="19">
        <v>0.47355000000000003</v>
      </c>
      <c r="J23" s="19">
        <v>0.42987999999999998</v>
      </c>
      <c r="K23" s="19">
        <v>0.42258000000000001</v>
      </c>
      <c r="L23" s="19">
        <v>0.45358999999999999</v>
      </c>
      <c r="M23" s="19">
        <v>0.33040999999999998</v>
      </c>
      <c r="N23" s="19">
        <v>0.53442000000000001</v>
      </c>
      <c r="O23" s="19">
        <v>0.55017000000000005</v>
      </c>
      <c r="P23" s="19">
        <v>0.49754999999999999</v>
      </c>
      <c r="Q23" s="19">
        <v>0.49110999999999999</v>
      </c>
      <c r="R23" s="19">
        <v>0.48953999999999998</v>
      </c>
      <c r="S23" s="19">
        <v>0.54205000000000003</v>
      </c>
      <c r="T23" s="19">
        <v>0.52276999999999996</v>
      </c>
      <c r="U23" s="19">
        <v>0.55689</v>
      </c>
      <c r="V23" s="19">
        <v>0.60551999999999995</v>
      </c>
      <c r="W23" s="19">
        <v>1</v>
      </c>
      <c r="X23" s="19">
        <v>0.69340000000000002</v>
      </c>
      <c r="Y23" s="19">
        <v>0.57738999999999996</v>
      </c>
      <c r="Z23" s="19">
        <v>0.63668000000000002</v>
      </c>
      <c r="AA23" s="19">
        <v>0.54083999999999999</v>
      </c>
    </row>
    <row r="24" spans="1:27" x14ac:dyDescent="0.25">
      <c r="A24" s="18" t="s">
        <v>171</v>
      </c>
      <c r="B24" s="19">
        <v>0.52431000000000005</v>
      </c>
      <c r="C24" s="19">
        <v>0.51090000000000002</v>
      </c>
      <c r="D24" s="19">
        <v>0.55069000000000001</v>
      </c>
      <c r="E24" s="19">
        <v>0.51202000000000003</v>
      </c>
      <c r="F24" s="19">
        <v>0.49475999999999998</v>
      </c>
      <c r="G24" s="19">
        <v>0.46444000000000002</v>
      </c>
      <c r="H24" s="19">
        <v>0.52446000000000004</v>
      </c>
      <c r="I24" s="19">
        <v>0.53396999999999994</v>
      </c>
      <c r="J24" s="19">
        <v>0.43631999999999999</v>
      </c>
      <c r="K24" s="19">
        <v>0.40554000000000001</v>
      </c>
      <c r="L24" s="19">
        <v>0.52375000000000005</v>
      </c>
      <c r="M24" s="19">
        <v>0.35854999999999998</v>
      </c>
      <c r="N24" s="19">
        <v>0.62126999999999999</v>
      </c>
      <c r="O24" s="19">
        <v>0.60192000000000001</v>
      </c>
      <c r="P24" s="19">
        <v>0.54973000000000005</v>
      </c>
      <c r="Q24" s="19">
        <v>0.53452</v>
      </c>
      <c r="R24" s="19">
        <v>0.53695000000000004</v>
      </c>
      <c r="S24" s="19">
        <v>0.55715999999999999</v>
      </c>
      <c r="T24" s="19">
        <v>0.53874</v>
      </c>
      <c r="U24" s="19">
        <v>0.55386999999999997</v>
      </c>
      <c r="V24" s="19">
        <v>0.64917000000000002</v>
      </c>
      <c r="W24" s="19">
        <v>0.69340000000000002</v>
      </c>
      <c r="X24" s="19">
        <v>1</v>
      </c>
      <c r="Y24" s="19">
        <v>0.55962000000000001</v>
      </c>
      <c r="Z24" s="19">
        <v>0.55581999999999998</v>
      </c>
      <c r="AA24" s="19">
        <v>0.54862999999999995</v>
      </c>
    </row>
    <row r="25" spans="1:27" x14ac:dyDescent="0.25">
      <c r="A25" s="18" t="s">
        <v>172</v>
      </c>
      <c r="B25" s="19">
        <v>0.54969999999999997</v>
      </c>
      <c r="C25" s="19">
        <v>0.46084000000000003</v>
      </c>
      <c r="D25" s="19">
        <v>0.48747000000000001</v>
      </c>
      <c r="E25" s="19">
        <v>0.46778999999999998</v>
      </c>
      <c r="F25" s="19">
        <v>0.47615000000000002</v>
      </c>
      <c r="G25" s="19">
        <v>0.54557</v>
      </c>
      <c r="H25" s="19">
        <v>0.43151</v>
      </c>
      <c r="I25" s="19">
        <v>0.54542999999999997</v>
      </c>
      <c r="J25" s="19">
        <v>0.54357999999999995</v>
      </c>
      <c r="K25" s="19">
        <v>0.37526999999999999</v>
      </c>
      <c r="L25" s="19">
        <v>0.62824999999999998</v>
      </c>
      <c r="M25" s="19">
        <v>0.46966000000000002</v>
      </c>
      <c r="N25" s="19">
        <v>0.54867999999999995</v>
      </c>
      <c r="O25" s="19">
        <v>0.62949999999999995</v>
      </c>
      <c r="P25" s="19">
        <v>0.44792999999999999</v>
      </c>
      <c r="Q25" s="19">
        <v>0.42386000000000001</v>
      </c>
      <c r="R25" s="19">
        <v>0.41117999999999999</v>
      </c>
      <c r="S25" s="19">
        <v>0.64473999999999998</v>
      </c>
      <c r="T25" s="19">
        <v>0.55718999999999996</v>
      </c>
      <c r="U25" s="19">
        <v>0.54590000000000005</v>
      </c>
      <c r="V25" s="19">
        <v>0.55681999999999998</v>
      </c>
      <c r="W25" s="19">
        <v>0.57738999999999996</v>
      </c>
      <c r="X25" s="19">
        <v>0.55962000000000001</v>
      </c>
      <c r="Y25" s="19">
        <v>1</v>
      </c>
      <c r="Z25" s="19">
        <v>0.49682999999999999</v>
      </c>
      <c r="AA25" s="19">
        <v>0.67</v>
      </c>
    </row>
    <row r="26" spans="1:27" x14ac:dyDescent="0.25">
      <c r="A26" s="18" t="s">
        <v>173</v>
      </c>
      <c r="B26" s="19">
        <v>0.39704</v>
      </c>
      <c r="C26" s="19">
        <v>0.36466999999999999</v>
      </c>
      <c r="D26" s="19">
        <v>0.40210000000000001</v>
      </c>
      <c r="E26" s="19">
        <v>0.38357000000000002</v>
      </c>
      <c r="F26" s="19">
        <v>0.37724999999999997</v>
      </c>
      <c r="G26" s="19">
        <v>0.40405000000000002</v>
      </c>
      <c r="H26" s="19">
        <v>0.53566999999999998</v>
      </c>
      <c r="I26" s="19">
        <v>0.38401000000000002</v>
      </c>
      <c r="J26" s="19">
        <v>0.36225000000000002</v>
      </c>
      <c r="K26" s="19">
        <v>0.55679000000000001</v>
      </c>
      <c r="L26" s="19">
        <v>0.38556000000000001</v>
      </c>
      <c r="M26" s="19">
        <v>0.27377000000000001</v>
      </c>
      <c r="N26" s="19">
        <v>0.43481999999999998</v>
      </c>
      <c r="O26" s="19">
        <v>0.45633000000000001</v>
      </c>
      <c r="P26" s="19">
        <v>0.39616000000000001</v>
      </c>
      <c r="Q26" s="19">
        <v>0.52134999999999998</v>
      </c>
      <c r="R26" s="19">
        <v>0.50960000000000005</v>
      </c>
      <c r="S26" s="19">
        <v>0.43831999999999999</v>
      </c>
      <c r="T26" s="19">
        <v>0.42653999999999997</v>
      </c>
      <c r="U26" s="19">
        <v>0.45172000000000001</v>
      </c>
      <c r="V26" s="19">
        <v>0.47397</v>
      </c>
      <c r="W26" s="19">
        <v>0.63668000000000002</v>
      </c>
      <c r="X26" s="19">
        <v>0.55581999999999998</v>
      </c>
      <c r="Y26" s="19">
        <v>0.49682999999999999</v>
      </c>
      <c r="Z26" s="19">
        <v>1</v>
      </c>
      <c r="AA26" s="19">
        <v>0.43608000000000002</v>
      </c>
    </row>
    <row r="27" spans="1:27" x14ac:dyDescent="0.25">
      <c r="A27" s="18" t="s">
        <v>174</v>
      </c>
      <c r="B27" s="19">
        <v>0.59499000000000002</v>
      </c>
      <c r="C27" s="19">
        <v>0.51758000000000004</v>
      </c>
      <c r="D27" s="19">
        <v>0.60823000000000005</v>
      </c>
      <c r="E27" s="19">
        <v>0.52841000000000005</v>
      </c>
      <c r="F27" s="19">
        <v>0.56698999999999999</v>
      </c>
      <c r="G27" s="19">
        <v>0.58081000000000005</v>
      </c>
      <c r="H27" s="19">
        <v>0.50104000000000004</v>
      </c>
      <c r="I27" s="19">
        <v>0.55791000000000002</v>
      </c>
      <c r="J27" s="19">
        <v>0.55510000000000004</v>
      </c>
      <c r="K27" s="19">
        <v>0.38318999999999998</v>
      </c>
      <c r="L27" s="19">
        <v>0.52171000000000001</v>
      </c>
      <c r="M27" s="19">
        <v>0.44824000000000003</v>
      </c>
      <c r="N27" s="19">
        <v>0.52219000000000004</v>
      </c>
      <c r="O27" s="19">
        <v>0.59164000000000005</v>
      </c>
      <c r="P27" s="19">
        <v>0.57359000000000004</v>
      </c>
      <c r="Q27" s="19">
        <v>0.4869</v>
      </c>
      <c r="R27" s="19">
        <v>0.50570000000000004</v>
      </c>
      <c r="S27" s="19">
        <v>0.63360000000000005</v>
      </c>
      <c r="T27" s="19">
        <v>0.66540999999999995</v>
      </c>
      <c r="U27" s="19">
        <v>0.59392999999999996</v>
      </c>
      <c r="V27" s="19">
        <v>0.60345000000000004</v>
      </c>
      <c r="W27" s="19">
        <v>0.54083999999999999</v>
      </c>
      <c r="X27" s="19">
        <v>0.54862999999999995</v>
      </c>
      <c r="Y27" s="19">
        <v>0.67</v>
      </c>
      <c r="Z27" s="19">
        <v>0.43608000000000002</v>
      </c>
      <c r="AA27" s="19">
        <v>1</v>
      </c>
    </row>
  </sheetData>
  <conditionalFormatting sqref="B2:AA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StimuliSummary</vt:lpstr>
      <vt:lpstr>Notes</vt:lpstr>
      <vt:lpstr>LetterSimilarity_SpeakerRatings</vt:lpstr>
      <vt:lpstr>LetterSimilarity_HMAXRatings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Lally, Clare (2017)</dc:creator>
  <cp:lastModifiedBy>Lally, Clare (2017)</cp:lastModifiedBy>
  <dcterms:created xsi:type="dcterms:W3CDTF">2019-08-27T15:31:44Z</dcterms:created>
  <dcterms:modified xsi:type="dcterms:W3CDTF">2020-01-14T17:02:09Z</dcterms:modified>
</cp:coreProperties>
</file>